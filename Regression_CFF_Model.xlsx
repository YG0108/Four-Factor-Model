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127"/>
  <workbookPr defaultThemeVersion="124226"/>
  <mc:AlternateContent xmlns:mc="http://schemas.openxmlformats.org/markup-compatibility/2006">
    <mc:Choice Requires="x15">
      <x15ac:absPath xmlns:x15ac="http://schemas.microsoft.com/office/spreadsheetml/2010/11/ac" url="C:\Users\YASH\Music\Msc FE\Sem II\AFDS\"/>
    </mc:Choice>
  </mc:AlternateContent>
  <xr:revisionPtr revIDLastSave="0" documentId="13_ncr:1_{117E5C09-9E01-4134-BCAF-9D06D9CFE56D}" xr6:coauthVersionLast="47" xr6:coauthVersionMax="47" xr10:uidLastSave="{00000000-0000-0000-0000-000000000000}"/>
  <bookViews>
    <workbookView xWindow="-108" yWindow="-108" windowWidth="23256" windowHeight="12456" activeTab="4" xr2:uid="{00000000-000D-0000-FFFF-FFFF00000000}"/>
  </bookViews>
  <sheets>
    <sheet name="Data Prep" sheetId="1" r:id="rId1"/>
    <sheet name="Risk Premiums of Funds" sheetId="2" r:id="rId2"/>
    <sheet name="Fund 1 Regression" sheetId="3" r:id="rId3"/>
    <sheet name="Fund 2 Regression" sheetId="4" r:id="rId4"/>
    <sheet name="Fund 3 Regression" sheetId="5" r:id="rId5"/>
  </sheets>
  <externalReferences>
    <externalReference r:id="rId6"/>
  </externalReferences>
  <calcPr calcId="191028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M15" i="5" l="1"/>
  <c r="J15" i="4"/>
  <c r="K15" i="3"/>
  <c r="H75" i="2"/>
  <c r="I75" i="2"/>
  <c r="J75" i="2"/>
  <c r="K75" i="2"/>
  <c r="L75" i="2"/>
  <c r="M75" i="2"/>
  <c r="N75" i="2"/>
  <c r="G75" i="2"/>
  <c r="G3" i="2"/>
  <c r="H3" i="2"/>
  <c r="I3" i="2"/>
  <c r="G4" i="2"/>
  <c r="H4" i="2"/>
  <c r="I4" i="2"/>
  <c r="G5" i="2"/>
  <c r="H5" i="2"/>
  <c r="I5" i="2"/>
  <c r="G6" i="2"/>
  <c r="H6" i="2"/>
  <c r="I6" i="2"/>
  <c r="G7" i="2"/>
  <c r="H7" i="2"/>
  <c r="I7" i="2"/>
  <c r="G8" i="2"/>
  <c r="H8" i="2"/>
  <c r="I8" i="2"/>
  <c r="G9" i="2"/>
  <c r="H9" i="2"/>
  <c r="I9" i="2"/>
  <c r="G10" i="2"/>
  <c r="H10" i="2"/>
  <c r="I10" i="2"/>
  <c r="G11" i="2"/>
  <c r="H11" i="2"/>
  <c r="I11" i="2"/>
  <c r="G12" i="2"/>
  <c r="H12" i="2"/>
  <c r="I12" i="2"/>
  <c r="G13" i="2"/>
  <c r="H13" i="2"/>
  <c r="I13" i="2"/>
  <c r="G14" i="2"/>
  <c r="H14" i="2"/>
  <c r="I14" i="2"/>
  <c r="G15" i="2"/>
  <c r="H15" i="2"/>
  <c r="I15" i="2"/>
  <c r="G16" i="2"/>
  <c r="H16" i="2"/>
  <c r="I16" i="2"/>
  <c r="G17" i="2"/>
  <c r="H17" i="2"/>
  <c r="I17" i="2"/>
  <c r="G18" i="2"/>
  <c r="H18" i="2"/>
  <c r="I18" i="2"/>
  <c r="G19" i="2"/>
  <c r="H19" i="2"/>
  <c r="I19" i="2"/>
  <c r="G20" i="2"/>
  <c r="H20" i="2"/>
  <c r="I20" i="2"/>
  <c r="G21" i="2"/>
  <c r="H21" i="2"/>
  <c r="I21" i="2"/>
  <c r="G22" i="2"/>
  <c r="H22" i="2"/>
  <c r="I22" i="2"/>
  <c r="G23" i="2"/>
  <c r="H23" i="2"/>
  <c r="I23" i="2"/>
  <c r="G24" i="2"/>
  <c r="H24" i="2"/>
  <c r="I24" i="2"/>
  <c r="G25" i="2"/>
  <c r="H25" i="2"/>
  <c r="I25" i="2"/>
  <c r="G26" i="2"/>
  <c r="H26" i="2"/>
  <c r="I26" i="2"/>
  <c r="G27" i="2"/>
  <c r="H27" i="2"/>
  <c r="I27" i="2"/>
  <c r="G28" i="2"/>
  <c r="H28" i="2"/>
  <c r="I28" i="2"/>
  <c r="G29" i="2"/>
  <c r="H29" i="2"/>
  <c r="I29" i="2"/>
  <c r="G30" i="2"/>
  <c r="H30" i="2"/>
  <c r="I30" i="2"/>
  <c r="G31" i="2"/>
  <c r="H31" i="2"/>
  <c r="I31" i="2"/>
  <c r="G32" i="2"/>
  <c r="H32" i="2"/>
  <c r="I32" i="2"/>
  <c r="G33" i="2"/>
  <c r="H33" i="2"/>
  <c r="I33" i="2"/>
  <c r="G34" i="2"/>
  <c r="H34" i="2"/>
  <c r="I34" i="2"/>
  <c r="G35" i="2"/>
  <c r="H35" i="2"/>
  <c r="I35" i="2"/>
  <c r="G36" i="2"/>
  <c r="H36" i="2"/>
  <c r="I36" i="2"/>
  <c r="G37" i="2"/>
  <c r="H37" i="2"/>
  <c r="I37" i="2"/>
  <c r="G38" i="2"/>
  <c r="H38" i="2"/>
  <c r="I38" i="2"/>
  <c r="G39" i="2"/>
  <c r="H39" i="2"/>
  <c r="I39" i="2"/>
  <c r="G40" i="2"/>
  <c r="H40" i="2"/>
  <c r="I40" i="2"/>
  <c r="G41" i="2"/>
  <c r="H41" i="2"/>
  <c r="I41" i="2"/>
  <c r="G42" i="2"/>
  <c r="H42" i="2"/>
  <c r="I42" i="2"/>
  <c r="G43" i="2"/>
  <c r="H43" i="2"/>
  <c r="I43" i="2"/>
  <c r="G44" i="2"/>
  <c r="H44" i="2"/>
  <c r="I44" i="2"/>
  <c r="G45" i="2"/>
  <c r="H45" i="2"/>
  <c r="I45" i="2"/>
  <c r="G46" i="2"/>
  <c r="H46" i="2"/>
  <c r="I46" i="2"/>
  <c r="G47" i="2"/>
  <c r="H47" i="2"/>
  <c r="I47" i="2"/>
  <c r="G48" i="2"/>
  <c r="H48" i="2"/>
  <c r="I48" i="2"/>
  <c r="G49" i="2"/>
  <c r="H49" i="2"/>
  <c r="I49" i="2"/>
  <c r="G50" i="2"/>
  <c r="H50" i="2"/>
  <c r="I50" i="2"/>
  <c r="G51" i="2"/>
  <c r="H51" i="2"/>
  <c r="I51" i="2"/>
  <c r="G52" i="2"/>
  <c r="H52" i="2"/>
  <c r="I52" i="2"/>
  <c r="G53" i="2"/>
  <c r="H53" i="2"/>
  <c r="I53" i="2"/>
  <c r="G54" i="2"/>
  <c r="H54" i="2"/>
  <c r="I54" i="2"/>
  <c r="G55" i="2"/>
  <c r="H55" i="2"/>
  <c r="I55" i="2"/>
  <c r="G56" i="2"/>
  <c r="H56" i="2"/>
  <c r="I56" i="2"/>
  <c r="G57" i="2"/>
  <c r="H57" i="2"/>
  <c r="I57" i="2"/>
  <c r="G58" i="2"/>
  <c r="H58" i="2"/>
  <c r="I58" i="2"/>
  <c r="G59" i="2"/>
  <c r="H59" i="2"/>
  <c r="I59" i="2"/>
  <c r="G60" i="2"/>
  <c r="H60" i="2"/>
  <c r="I60" i="2"/>
  <c r="G61" i="2"/>
  <c r="H61" i="2"/>
  <c r="I61" i="2"/>
  <c r="G62" i="2"/>
  <c r="H62" i="2"/>
  <c r="I62" i="2"/>
  <c r="G63" i="2"/>
  <c r="H63" i="2"/>
  <c r="I63" i="2"/>
  <c r="G64" i="2"/>
  <c r="H64" i="2"/>
  <c r="I64" i="2"/>
  <c r="G65" i="2"/>
  <c r="H65" i="2"/>
  <c r="I65" i="2"/>
  <c r="G66" i="2"/>
  <c r="H66" i="2"/>
  <c r="I66" i="2"/>
  <c r="G67" i="2"/>
  <c r="H67" i="2"/>
  <c r="I67" i="2"/>
  <c r="G68" i="2"/>
  <c r="H68" i="2"/>
  <c r="I68" i="2"/>
  <c r="G69" i="2"/>
  <c r="H69" i="2"/>
  <c r="I69" i="2"/>
  <c r="G70" i="2"/>
  <c r="H70" i="2"/>
  <c r="I70" i="2"/>
  <c r="G71" i="2"/>
  <c r="H71" i="2"/>
  <c r="I71" i="2"/>
  <c r="G72" i="2"/>
  <c r="H72" i="2"/>
  <c r="I72" i="2"/>
  <c r="G73" i="2"/>
  <c r="H73" i="2"/>
  <c r="I73" i="2"/>
  <c r="H2" i="2"/>
  <c r="I2" i="2"/>
  <c r="G2" i="2"/>
  <c r="H1" i="2"/>
  <c r="I1" i="2"/>
  <c r="G1" i="2"/>
  <c r="G73" i="1"/>
  <c r="H73" i="1"/>
  <c r="I73" i="1"/>
  <c r="J73" i="1"/>
  <c r="K73" i="1"/>
  <c r="G72" i="1"/>
  <c r="H72" i="1"/>
  <c r="I72" i="1"/>
  <c r="J72" i="1"/>
  <c r="K72" i="1"/>
  <c r="G71" i="1"/>
  <c r="H71" i="1"/>
  <c r="I71" i="1"/>
  <c r="J71" i="1"/>
  <c r="K71" i="1"/>
  <c r="G70" i="1"/>
  <c r="H70" i="1"/>
  <c r="I70" i="1"/>
  <c r="J70" i="1"/>
  <c r="K70" i="1"/>
  <c r="G69" i="1"/>
  <c r="H69" i="1"/>
  <c r="I69" i="1"/>
  <c r="J69" i="1"/>
  <c r="K69" i="1"/>
  <c r="G68" i="1"/>
  <c r="H68" i="1"/>
  <c r="I68" i="1"/>
  <c r="J68" i="1"/>
  <c r="K68" i="1"/>
  <c r="G67" i="1"/>
  <c r="H67" i="1"/>
  <c r="I67" i="1"/>
  <c r="J67" i="1"/>
  <c r="K67" i="1"/>
  <c r="G66" i="1"/>
  <c r="H66" i="1"/>
  <c r="I66" i="1"/>
  <c r="J66" i="1"/>
  <c r="K66" i="1"/>
  <c r="G65" i="1"/>
  <c r="H65" i="1"/>
  <c r="I65" i="1"/>
  <c r="J65" i="1"/>
  <c r="K65" i="1"/>
  <c r="G64" i="1"/>
  <c r="H64" i="1"/>
  <c r="I64" i="1"/>
  <c r="J64" i="1"/>
  <c r="K64" i="1"/>
  <c r="G63" i="1"/>
  <c r="H63" i="1"/>
  <c r="I63" i="1"/>
  <c r="J63" i="1"/>
  <c r="K63" i="1"/>
  <c r="G62" i="1"/>
  <c r="H62" i="1"/>
  <c r="I62" i="1"/>
  <c r="J62" i="1"/>
  <c r="K62" i="1"/>
  <c r="G61" i="1"/>
  <c r="H61" i="1"/>
  <c r="I61" i="1"/>
  <c r="J61" i="1"/>
  <c r="K61" i="1"/>
  <c r="G60" i="1"/>
  <c r="H60" i="1"/>
  <c r="I60" i="1"/>
  <c r="J60" i="1"/>
  <c r="K60" i="1"/>
  <c r="G59" i="1"/>
  <c r="H59" i="1"/>
  <c r="I59" i="1"/>
  <c r="J59" i="1"/>
  <c r="K59" i="1"/>
  <c r="G58" i="1"/>
  <c r="H58" i="1"/>
  <c r="I58" i="1"/>
  <c r="J58" i="1"/>
  <c r="K58" i="1"/>
  <c r="G57" i="1"/>
  <c r="H57" i="1"/>
  <c r="I57" i="1"/>
  <c r="J57" i="1"/>
  <c r="K57" i="1"/>
  <c r="G56" i="1"/>
  <c r="H56" i="1"/>
  <c r="I56" i="1"/>
  <c r="J56" i="1"/>
  <c r="K56" i="1"/>
  <c r="G55" i="1"/>
  <c r="H55" i="1"/>
  <c r="I55" i="1"/>
  <c r="J55" i="1"/>
  <c r="K55" i="1"/>
  <c r="G54" i="1"/>
  <c r="H54" i="1"/>
  <c r="I54" i="1"/>
  <c r="J54" i="1"/>
  <c r="K54" i="1"/>
  <c r="G53" i="1"/>
  <c r="H53" i="1"/>
  <c r="I53" i="1"/>
  <c r="J53" i="1"/>
  <c r="K53" i="1"/>
  <c r="G52" i="1"/>
  <c r="H52" i="1"/>
  <c r="I52" i="1"/>
  <c r="J52" i="1"/>
  <c r="K52" i="1"/>
  <c r="G51" i="1"/>
  <c r="H51" i="1"/>
  <c r="I51" i="1"/>
  <c r="J51" i="1"/>
  <c r="K51" i="1"/>
  <c r="G50" i="1"/>
  <c r="H50" i="1"/>
  <c r="I50" i="1"/>
  <c r="J50" i="1"/>
  <c r="K50" i="1"/>
  <c r="G49" i="1"/>
  <c r="H49" i="1"/>
  <c r="I49" i="1"/>
  <c r="J49" i="1"/>
  <c r="K49" i="1"/>
  <c r="G48" i="1"/>
  <c r="H48" i="1"/>
  <c r="I48" i="1"/>
  <c r="J48" i="1"/>
  <c r="K48" i="1"/>
  <c r="G47" i="1"/>
  <c r="H47" i="1"/>
  <c r="I47" i="1"/>
  <c r="J47" i="1"/>
  <c r="K47" i="1"/>
  <c r="G46" i="1"/>
  <c r="H46" i="1"/>
  <c r="I46" i="1"/>
  <c r="J46" i="1"/>
  <c r="K46" i="1"/>
  <c r="G45" i="1"/>
  <c r="H45" i="1"/>
  <c r="I45" i="1"/>
  <c r="J45" i="1"/>
  <c r="K45" i="1"/>
  <c r="G44" i="1"/>
  <c r="H44" i="1"/>
  <c r="I44" i="1"/>
  <c r="J44" i="1"/>
  <c r="K44" i="1"/>
  <c r="G43" i="1"/>
  <c r="H43" i="1"/>
  <c r="I43" i="1"/>
  <c r="J43" i="1"/>
  <c r="K43" i="1"/>
  <c r="G42" i="1"/>
  <c r="H42" i="1"/>
  <c r="I42" i="1"/>
  <c r="J42" i="1"/>
  <c r="K42" i="1"/>
  <c r="G41" i="1"/>
  <c r="H41" i="1"/>
  <c r="I41" i="1"/>
  <c r="J41" i="1"/>
  <c r="K41" i="1"/>
  <c r="G40" i="1"/>
  <c r="H40" i="1"/>
  <c r="I40" i="1"/>
  <c r="J40" i="1"/>
  <c r="K40" i="1"/>
  <c r="G39" i="1"/>
  <c r="H39" i="1"/>
  <c r="I39" i="1"/>
  <c r="J39" i="1"/>
  <c r="K39" i="1"/>
  <c r="G38" i="1"/>
  <c r="H38" i="1"/>
  <c r="I38" i="1"/>
  <c r="J38" i="1"/>
  <c r="K38" i="1"/>
  <c r="G37" i="1"/>
  <c r="H37" i="1"/>
  <c r="I37" i="1"/>
  <c r="J37" i="1"/>
  <c r="K37" i="1"/>
  <c r="G36" i="1"/>
  <c r="H36" i="1"/>
  <c r="I36" i="1"/>
  <c r="J36" i="1"/>
  <c r="K36" i="1"/>
  <c r="G35" i="1"/>
  <c r="H35" i="1"/>
  <c r="I35" i="1"/>
  <c r="J35" i="1"/>
  <c r="K35" i="1"/>
  <c r="G34" i="1"/>
  <c r="H34" i="1"/>
  <c r="I34" i="1"/>
  <c r="J34" i="1"/>
  <c r="K34" i="1"/>
  <c r="G33" i="1"/>
  <c r="H33" i="1"/>
  <c r="I33" i="1"/>
  <c r="J33" i="1"/>
  <c r="K33" i="1"/>
  <c r="G32" i="1"/>
  <c r="H32" i="1"/>
  <c r="I32" i="1"/>
  <c r="J32" i="1"/>
  <c r="K32" i="1"/>
  <c r="G31" i="1"/>
  <c r="H31" i="1"/>
  <c r="I31" i="1"/>
  <c r="J31" i="1"/>
  <c r="K31" i="1"/>
  <c r="G30" i="1"/>
  <c r="H30" i="1"/>
  <c r="I30" i="1"/>
  <c r="J30" i="1"/>
  <c r="K30" i="1"/>
  <c r="G29" i="1"/>
  <c r="H29" i="1"/>
  <c r="I29" i="1"/>
  <c r="J29" i="1"/>
  <c r="K29" i="1"/>
  <c r="G28" i="1"/>
  <c r="H28" i="1"/>
  <c r="I28" i="1"/>
  <c r="J28" i="1"/>
  <c r="K28" i="1"/>
  <c r="G27" i="1"/>
  <c r="H27" i="1"/>
  <c r="I27" i="1"/>
  <c r="J27" i="1"/>
  <c r="K27" i="1"/>
  <c r="G26" i="1"/>
  <c r="H26" i="1"/>
  <c r="I26" i="1"/>
  <c r="J26" i="1"/>
  <c r="K26" i="1"/>
  <c r="G25" i="1"/>
  <c r="H25" i="1"/>
  <c r="I25" i="1"/>
  <c r="J25" i="1"/>
  <c r="K25" i="1"/>
  <c r="G24" i="1"/>
  <c r="H24" i="1"/>
  <c r="I24" i="1"/>
  <c r="J24" i="1"/>
  <c r="K24" i="1"/>
  <c r="G23" i="1"/>
  <c r="H23" i="1"/>
  <c r="I23" i="1"/>
  <c r="J23" i="1"/>
  <c r="K23" i="1"/>
  <c r="G22" i="1"/>
  <c r="H22" i="1"/>
  <c r="I22" i="1"/>
  <c r="J22" i="1"/>
  <c r="K22" i="1"/>
  <c r="G21" i="1"/>
  <c r="H21" i="1"/>
  <c r="I21" i="1"/>
  <c r="J21" i="1"/>
  <c r="K21" i="1"/>
  <c r="G20" i="1"/>
  <c r="H20" i="1"/>
  <c r="I20" i="1"/>
  <c r="J20" i="1"/>
  <c r="K20" i="1"/>
  <c r="G19" i="1"/>
  <c r="H19" i="1"/>
  <c r="I19" i="1"/>
  <c r="J19" i="1"/>
  <c r="K19" i="1"/>
  <c r="G18" i="1"/>
  <c r="H18" i="1"/>
  <c r="I18" i="1"/>
  <c r="J18" i="1"/>
  <c r="K18" i="1"/>
  <c r="G17" i="1"/>
  <c r="H17" i="1"/>
  <c r="I17" i="1"/>
  <c r="J17" i="1"/>
  <c r="K17" i="1"/>
  <c r="G16" i="1"/>
  <c r="H16" i="1"/>
  <c r="I16" i="1"/>
  <c r="J16" i="1"/>
  <c r="K16" i="1"/>
  <c r="G15" i="1"/>
  <c r="H15" i="1"/>
  <c r="I15" i="1"/>
  <c r="J15" i="1"/>
  <c r="K15" i="1"/>
  <c r="G14" i="1"/>
  <c r="H14" i="1"/>
  <c r="I14" i="1"/>
  <c r="J14" i="1"/>
  <c r="K14" i="1"/>
  <c r="G13" i="1"/>
  <c r="H13" i="1"/>
  <c r="I13" i="1"/>
  <c r="J13" i="1"/>
  <c r="K13" i="1"/>
  <c r="G12" i="1"/>
  <c r="H12" i="1"/>
  <c r="I12" i="1"/>
  <c r="J12" i="1"/>
  <c r="K12" i="1"/>
  <c r="G11" i="1"/>
  <c r="H11" i="1"/>
  <c r="I11" i="1"/>
  <c r="J11" i="1"/>
  <c r="K11" i="1"/>
  <c r="G10" i="1"/>
  <c r="H10" i="1"/>
  <c r="I10" i="1"/>
  <c r="J10" i="1"/>
  <c r="K10" i="1"/>
  <c r="G9" i="1"/>
  <c r="H9" i="1"/>
  <c r="I9" i="1"/>
  <c r="J9" i="1"/>
  <c r="K9" i="1"/>
  <c r="G8" i="1"/>
  <c r="H8" i="1"/>
  <c r="I8" i="1"/>
  <c r="J8" i="1"/>
  <c r="K8" i="1"/>
  <c r="G7" i="1"/>
  <c r="H7" i="1"/>
  <c r="I7" i="1"/>
  <c r="J7" i="1"/>
  <c r="K7" i="1"/>
  <c r="G6" i="1"/>
  <c r="H6" i="1"/>
  <c r="I6" i="1"/>
  <c r="J6" i="1"/>
  <c r="K6" i="1"/>
  <c r="G5" i="1"/>
  <c r="H5" i="1"/>
  <c r="I5" i="1"/>
  <c r="J5" i="1"/>
  <c r="K5" i="1"/>
  <c r="G4" i="1"/>
  <c r="H4" i="1"/>
  <c r="I4" i="1"/>
  <c r="J4" i="1"/>
  <c r="K4" i="1"/>
  <c r="G3" i="1"/>
  <c r="H3" i="1"/>
  <c r="I3" i="1"/>
  <c r="J3" i="1"/>
  <c r="K3" i="1"/>
  <c r="H74" i="1"/>
  <c r="I74" i="1"/>
  <c r="J74" i="1"/>
  <c r="K74" i="1"/>
  <c r="G74" i="1"/>
</calcChain>
</file>

<file path=xl/sharedStrings.xml><?xml version="1.0" encoding="utf-8"?>
<sst xmlns="http://schemas.openxmlformats.org/spreadsheetml/2006/main" count="300" uniqueCount="129">
  <si>
    <t>Date</t>
  </si>
  <si>
    <t>Year</t>
  </si>
  <si>
    <t>Month</t>
  </si>
  <si>
    <t>Fund 1</t>
  </si>
  <si>
    <t>Fund 2</t>
  </si>
  <si>
    <t>Fund 3</t>
  </si>
  <si>
    <t>SMB</t>
  </si>
  <si>
    <t>HML</t>
  </si>
  <si>
    <t>WML</t>
  </si>
  <si>
    <t>MF</t>
  </si>
  <si>
    <t>RF</t>
  </si>
  <si>
    <t>2023-12</t>
  </si>
  <si>
    <t>2023-11</t>
  </si>
  <si>
    <t>2023-10</t>
  </si>
  <si>
    <t>2023-09</t>
  </si>
  <si>
    <t>2023-08</t>
  </si>
  <si>
    <t>2023-07</t>
  </si>
  <si>
    <t>2023-06</t>
  </si>
  <si>
    <t>2023-05</t>
  </si>
  <si>
    <t>2023-04</t>
  </si>
  <si>
    <t>2023-03</t>
  </si>
  <si>
    <t>2023-02</t>
  </si>
  <si>
    <t>2023-01</t>
  </si>
  <si>
    <t>2022-12</t>
  </si>
  <si>
    <t>2022-11</t>
  </si>
  <si>
    <t>2022-10</t>
  </si>
  <si>
    <t>2022-09</t>
  </si>
  <si>
    <t>2022-08</t>
  </si>
  <si>
    <t>2022-07</t>
  </si>
  <si>
    <t>2022-06</t>
  </si>
  <si>
    <t>2022-05</t>
  </si>
  <si>
    <t>2022-04</t>
  </si>
  <si>
    <t>2022-03</t>
  </si>
  <si>
    <t>2022-02</t>
  </si>
  <si>
    <t>2022-01</t>
  </si>
  <si>
    <t>2021-12</t>
  </si>
  <si>
    <t>2021-11</t>
  </si>
  <si>
    <t>2021-10</t>
  </si>
  <si>
    <t>2021-09</t>
  </si>
  <si>
    <t>2021-08</t>
  </si>
  <si>
    <t>2021-07</t>
  </si>
  <si>
    <t>2021-06</t>
  </si>
  <si>
    <t>2021-05</t>
  </si>
  <si>
    <t>2021-04</t>
  </si>
  <si>
    <t>2021-03</t>
  </si>
  <si>
    <t>2021-02</t>
  </si>
  <si>
    <t>2021-01</t>
  </si>
  <si>
    <t>2020-12</t>
  </si>
  <si>
    <t>2020-11</t>
  </si>
  <si>
    <t>2020-10</t>
  </si>
  <si>
    <t>2020-09</t>
  </si>
  <si>
    <t>2020-08</t>
  </si>
  <si>
    <t>2020-07</t>
  </si>
  <si>
    <t>2020-06</t>
  </si>
  <si>
    <t>2020-05</t>
  </si>
  <si>
    <t>2020-04</t>
  </si>
  <si>
    <t>2020-03</t>
  </si>
  <si>
    <t>2020-02</t>
  </si>
  <si>
    <t>2020-01</t>
  </si>
  <si>
    <t>2019-12</t>
  </si>
  <si>
    <t>2019-11</t>
  </si>
  <si>
    <t>2019-10</t>
  </si>
  <si>
    <t>2019-09</t>
  </si>
  <si>
    <t>2019-08</t>
  </si>
  <si>
    <t>2019-07</t>
  </si>
  <si>
    <t>2019-06</t>
  </si>
  <si>
    <t>2019-05</t>
  </si>
  <si>
    <t>2019-04</t>
  </si>
  <si>
    <t>2019-03</t>
  </si>
  <si>
    <t>2019-02</t>
  </si>
  <si>
    <t>2019-01</t>
  </si>
  <si>
    <t>2018-12</t>
  </si>
  <si>
    <t>2018-11</t>
  </si>
  <si>
    <t>2018-10</t>
  </si>
  <si>
    <t>2018-09</t>
  </si>
  <si>
    <t>2018-08</t>
  </si>
  <si>
    <t>2018-07</t>
  </si>
  <si>
    <t>2018-06</t>
  </si>
  <si>
    <t>2018-05</t>
  </si>
  <si>
    <t>2018-04</t>
  </si>
  <si>
    <t>2018-03</t>
  </si>
  <si>
    <t>2018-02</t>
  </si>
  <si>
    <t>2018-01</t>
  </si>
  <si>
    <t>Average of 10 recent observations.</t>
  </si>
  <si>
    <t>From risk premiums</t>
  </si>
  <si>
    <t>SUMMARY OUTPUT</t>
  </si>
  <si>
    <t>Interpretation OF Fund 1</t>
  </si>
  <si>
    <t>Regression Statistics</t>
  </si>
  <si>
    <t>Multiple R</t>
  </si>
  <si>
    <t>Value</t>
  </si>
  <si>
    <t>R Square</t>
  </si>
  <si>
    <t>Adjusted R Square</t>
  </si>
  <si>
    <t>Interpretation</t>
  </si>
  <si>
    <t>Positive. Small caps are positively performing but lesser as compared to large companies.</t>
  </si>
  <si>
    <t>Positive. Large companies are performing much better than small companies.</t>
  </si>
  <si>
    <t>Positive. The fund is able to generate alpha although it is small.</t>
  </si>
  <si>
    <t>Standard Error</t>
  </si>
  <si>
    <t>Observations</t>
  </si>
  <si>
    <t>Fund type</t>
  </si>
  <si>
    <t>Value fund</t>
  </si>
  <si>
    <t>ANOVA</t>
  </si>
  <si>
    <t>df</t>
  </si>
  <si>
    <t>SS</t>
  </si>
  <si>
    <t>MS</t>
  </si>
  <si>
    <t>F</t>
  </si>
  <si>
    <t>Significance F</t>
  </si>
  <si>
    <t>Expected return</t>
  </si>
  <si>
    <t>Rf + B1(SMB) + B2(HML) + B3(WML) + B4(MF)</t>
  </si>
  <si>
    <t>Regression</t>
  </si>
  <si>
    <t>Residual</t>
  </si>
  <si>
    <t>Total</t>
  </si>
  <si>
    <t>Coefficients</t>
  </si>
  <si>
    <t>t Stat</t>
  </si>
  <si>
    <t>P-value</t>
  </si>
  <si>
    <t>Lower 95%</t>
  </si>
  <si>
    <t>Upper 95%</t>
  </si>
  <si>
    <t>Lower 95.0%</t>
  </si>
  <si>
    <t>Upper 95.0%</t>
  </si>
  <si>
    <t>Intercept</t>
  </si>
  <si>
    <t>Interpretation of Fund 2</t>
  </si>
  <si>
    <t>Positive. Small companies are outperforming the larger ones.</t>
  </si>
  <si>
    <t>Positive.  Large companies are outperforming the smaller companies.</t>
  </si>
  <si>
    <t>Negative. The fund is not able to generate alpha, or not able to beat the market.</t>
  </si>
  <si>
    <t>Balanced fund</t>
  </si>
  <si>
    <t>Interpretation of Fund 3</t>
  </si>
  <si>
    <t>Positive. Small companies are outperforming the bigger ones.</t>
  </si>
  <si>
    <t>Slightly positive. Large companies are able to generate a positive return although it is small.</t>
  </si>
  <si>
    <t>Positive. The fund is able to generate alpha.</t>
  </si>
  <si>
    <t>Growth fund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</si>
</sst>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8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1"/>
      <color rgb="FFFF0000"/>
      <name val="Calibri"/>
      <family val="2"/>
      <scheme val="minor"/>
    </font>
    <font>
      <b/>
      <sz val="11"/>
      <color theme="9"/>
      <name val="Calibri"/>
      <family val="2"/>
      <scheme val="minor"/>
    </font>
    <font>
      <b/>
      <sz val="11"/>
      <color rgb="FF7030A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5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/>
      <diagonal/>
    </border>
    <border>
      <left/>
      <right/>
      <top/>
      <bottom style="medium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7">
    <xf numFmtId="0" fontId="0" fillId="0" borderId="0" xfId="0"/>
    <xf numFmtId="0" fontId="1" fillId="0" borderId="1" xfId="0" applyFont="1" applyBorder="1" applyAlignment="1">
      <alignment horizontal="center" vertical="top"/>
    </xf>
    <xf numFmtId="0" fontId="1" fillId="0" borderId="2" xfId="0" applyFont="1" applyBorder="1" applyAlignment="1">
      <alignment horizontal="center" vertical="top"/>
    </xf>
    <xf numFmtId="0" fontId="1" fillId="0" borderId="0" xfId="0" applyFont="1"/>
    <xf numFmtId="0" fontId="1" fillId="0" borderId="0" xfId="0" applyFont="1" applyAlignment="1">
      <alignment wrapText="1"/>
    </xf>
    <xf numFmtId="0" fontId="0" fillId="0" borderId="3" xfId="0" applyBorder="1"/>
    <xf numFmtId="0" fontId="2" fillId="0" borderId="4" xfId="0" applyFont="1" applyBorder="1" applyAlignment="1">
      <alignment horizontal="center"/>
    </xf>
    <xf numFmtId="0" fontId="2" fillId="0" borderId="4" xfId="0" applyFont="1" applyBorder="1" applyAlignment="1">
      <alignment horizontal="centerContinuous"/>
    </xf>
    <xf numFmtId="0" fontId="3" fillId="0" borderId="0" xfId="0" applyFont="1"/>
    <xf numFmtId="0" fontId="0" fillId="0" borderId="0" xfId="0" applyAlignment="1">
      <alignment wrapText="1"/>
    </xf>
    <xf numFmtId="0" fontId="5" fillId="0" borderId="0" xfId="0" applyFont="1"/>
    <xf numFmtId="0" fontId="6" fillId="0" borderId="0" xfId="0" applyFont="1"/>
    <xf numFmtId="0" fontId="0" fillId="0" borderId="0" xfId="0" applyAlignment="1">
      <alignment horizontal="center"/>
    </xf>
    <xf numFmtId="0" fontId="7" fillId="0" borderId="0" xfId="0" applyFont="1"/>
    <xf numFmtId="9" fontId="5" fillId="0" borderId="0" xfId="0" applyNumberFormat="1" applyFont="1"/>
    <xf numFmtId="9" fontId="6" fillId="0" borderId="0" xfId="0" applyNumberFormat="1" applyFont="1"/>
    <xf numFmtId="9" fontId="7" fillId="0" borderId="1" xfId="0" applyNumberFormat="1" applyFont="1" applyBorder="1"/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styles" Target="styles.xml"/><Relationship Id="rId13" Type="http://schemas.openxmlformats.org/officeDocument/2006/relationships/customXml" Target="../customXml/item3.xml"/><Relationship Id="rId3" Type="http://schemas.openxmlformats.org/officeDocument/2006/relationships/worksheet" Target="worksheets/sheet3.xml"/><Relationship Id="rId7" Type="http://schemas.openxmlformats.org/officeDocument/2006/relationships/theme" Target="theme/theme1.xml"/><Relationship Id="rId12" Type="http://schemas.openxmlformats.org/officeDocument/2006/relationships/customXml" Target="../customXml/item2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1.xml"/><Relationship Id="rId11" Type="http://schemas.openxmlformats.org/officeDocument/2006/relationships/customXml" Target="../customXml/item1.xml"/><Relationship Id="rId5" Type="http://schemas.openxmlformats.org/officeDocument/2006/relationships/worksheet" Target="worksheets/sheet5.xml"/><Relationship Id="rId10" Type="http://schemas.openxmlformats.org/officeDocument/2006/relationships/calcChain" Target="calcChain.xml"/><Relationship Id="rId4" Type="http://schemas.openxmlformats.org/officeDocument/2006/relationships/worksheet" Target="worksheets/sheet4.xml"/><Relationship Id="rId9" Type="http://schemas.openxmlformats.org/officeDocument/2006/relationships/sharedStrings" Target="sharedStrings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file:///S:\Finance%20data%20science%20lab\FourFactors_and_Market_Returns_%20data.csv" TargetMode="External"/><Relationship Id="rId1" Type="http://schemas.openxmlformats.org/officeDocument/2006/relationships/externalLinkPath" Target="file:///S:\Finance%20data%20science%20lab\FourFactors_and_Market_Returns_%20data.csv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FourFactors_and_Market_Returns_"/>
    </sheetNames>
    <sheetDataSet>
      <sheetData sheetId="0">
        <row r="1">
          <cell r="A1" t="str">
            <v>Date</v>
          </cell>
          <cell r="B1" t="str">
            <v>SMB</v>
          </cell>
          <cell r="C1" t="str">
            <v>HML</v>
          </cell>
          <cell r="D1" t="str">
            <v>WML</v>
          </cell>
          <cell r="E1" t="str">
            <v>MF</v>
          </cell>
          <cell r="F1" t="str">
            <v>RF</v>
          </cell>
        </row>
        <row r="2">
          <cell r="A2" t="str">
            <v>1993-10</v>
          </cell>
          <cell r="B2">
            <v>2.9806596102632801</v>
          </cell>
          <cell r="C2">
            <v>2.5872351081485299</v>
          </cell>
          <cell r="D2">
            <v>3.01110382988408</v>
          </cell>
          <cell r="E2" t="str">
            <v>NA</v>
          </cell>
          <cell r="F2" t="str">
            <v>NA</v>
          </cell>
        </row>
        <row r="3">
          <cell r="A3" t="str">
            <v>1993-11</v>
          </cell>
          <cell r="B3">
            <v>-9.4227054233204406</v>
          </cell>
          <cell r="C3">
            <v>-0.55858663011628695</v>
          </cell>
          <cell r="D3">
            <v>12.621233689915501</v>
          </cell>
          <cell r="E3">
            <v>17.6218944309642</v>
          </cell>
          <cell r="F3">
            <v>0.61143209720813096</v>
          </cell>
        </row>
        <row r="4">
          <cell r="A4" t="str">
            <v>1993-12</v>
          </cell>
          <cell r="B4">
            <v>-3.7740029710679499</v>
          </cell>
          <cell r="C4">
            <v>7.5534381724785504</v>
          </cell>
          <cell r="D4">
            <v>-3.3044503963685199</v>
          </cell>
          <cell r="E4">
            <v>8.2921921727256507</v>
          </cell>
          <cell r="F4">
            <v>0.61301005406790798</v>
          </cell>
        </row>
        <row r="5">
          <cell r="A5" t="str">
            <v>1994-01</v>
          </cell>
          <cell r="B5">
            <v>5.3004610859964902</v>
          </cell>
          <cell r="C5">
            <v>-4.1863198253413598</v>
          </cell>
          <cell r="D5">
            <v>-5.0989600705612803</v>
          </cell>
          <cell r="E5">
            <v>18.7178209778289</v>
          </cell>
          <cell r="F5">
            <v>0.85679691590594398</v>
          </cell>
        </row>
        <row r="6">
          <cell r="A6" t="str">
            <v>1994-02</v>
          </cell>
          <cell r="B6">
            <v>3.63938630714877</v>
          </cell>
          <cell r="C6">
            <v>-2.5723612551569</v>
          </cell>
          <cell r="D6">
            <v>5.0619610942510302</v>
          </cell>
          <cell r="E6">
            <v>4.8868711110819296</v>
          </cell>
          <cell r="F6">
            <v>0.620017402442952</v>
          </cell>
        </row>
        <row r="7">
          <cell r="A7" t="str">
            <v>1994-03</v>
          </cell>
          <cell r="B7">
            <v>2.3143998894861002</v>
          </cell>
          <cell r="C7">
            <v>-1.8971444597643199</v>
          </cell>
          <cell r="D7">
            <v>-0.99829331218113104</v>
          </cell>
          <cell r="E7">
            <v>-13.2123802711507</v>
          </cell>
          <cell r="F7">
            <v>0.61838311722879302</v>
          </cell>
        </row>
        <row r="8">
          <cell r="A8" t="str">
            <v>1994-04</v>
          </cell>
          <cell r="B8">
            <v>4.0691307334550501E-2</v>
          </cell>
          <cell r="C8">
            <v>-4.6530623130539901</v>
          </cell>
          <cell r="D8">
            <v>-1.8947798632424</v>
          </cell>
          <cell r="E8">
            <v>-2.6972869395735701</v>
          </cell>
          <cell r="F8">
            <v>0.56198633745847504</v>
          </cell>
        </row>
        <row r="9">
          <cell r="A9" t="str">
            <v>1994-05</v>
          </cell>
          <cell r="B9">
            <v>1.1405508978835599</v>
          </cell>
          <cell r="C9">
            <v>5.9175767432688504</v>
          </cell>
          <cell r="D9">
            <v>-9.7955181516217706</v>
          </cell>
          <cell r="E9">
            <v>2.6587475609911602</v>
          </cell>
          <cell r="F9">
            <v>0.62980846493476705</v>
          </cell>
        </row>
        <row r="10">
          <cell r="A10" t="str">
            <v>1994-06</v>
          </cell>
          <cell r="B10">
            <v>-5.5595508869433798</v>
          </cell>
          <cell r="C10">
            <v>11.423507439714101</v>
          </cell>
          <cell r="D10">
            <v>-0.90274737176334596</v>
          </cell>
          <cell r="E10">
            <v>7.2714385242522299</v>
          </cell>
          <cell r="F10">
            <v>0.64711683406055698</v>
          </cell>
        </row>
        <row r="11">
          <cell r="A11" t="str">
            <v>1994-07</v>
          </cell>
          <cell r="B11">
            <v>9.2384650463354507</v>
          </cell>
          <cell r="C11">
            <v>-1.2750652224047101</v>
          </cell>
          <cell r="D11">
            <v>-10.1790521942208</v>
          </cell>
          <cell r="E11">
            <v>4.1729979296029303</v>
          </cell>
          <cell r="F11">
            <v>0.67986135503408396</v>
          </cell>
        </row>
        <row r="12">
          <cell r="A12" t="str">
            <v>1994-08</v>
          </cell>
          <cell r="B12">
            <v>4.4181232255958003</v>
          </cell>
          <cell r="C12">
            <v>-2.3416928968925901</v>
          </cell>
          <cell r="D12">
            <v>-2.09331283510926</v>
          </cell>
          <cell r="E12">
            <v>8.5946521772780393</v>
          </cell>
          <cell r="F12">
            <v>0.71637082748261505</v>
          </cell>
        </row>
        <row r="13">
          <cell r="A13" t="str">
            <v>1994-09</v>
          </cell>
          <cell r="B13">
            <v>7.8608943397042896</v>
          </cell>
          <cell r="C13">
            <v>1.68129983078806</v>
          </cell>
          <cell r="D13">
            <v>-4.2078301612448996</v>
          </cell>
          <cell r="E13">
            <v>-6.0196537012142999</v>
          </cell>
          <cell r="F13">
            <v>0.66397986006514498</v>
          </cell>
        </row>
        <row r="14">
          <cell r="A14" t="str">
            <v>1994-10</v>
          </cell>
          <cell r="B14">
            <v>4.6107566428234401</v>
          </cell>
          <cell r="C14">
            <v>9.4008113631749008</v>
          </cell>
          <cell r="D14">
            <v>0.49052350663094701</v>
          </cell>
          <cell r="E14">
            <v>0.20725782176487201</v>
          </cell>
          <cell r="F14">
            <v>0.728841063527219</v>
          </cell>
        </row>
        <row r="15">
          <cell r="A15" t="str">
            <v>1994-11</v>
          </cell>
          <cell r="B15" t="str">
            <v>NA</v>
          </cell>
          <cell r="C15" t="str">
            <v>NA</v>
          </cell>
          <cell r="D15" t="str">
            <v>NA</v>
          </cell>
          <cell r="E15">
            <v>-0.26370353694340498</v>
          </cell>
          <cell r="F15">
            <v>0.66707588845935595</v>
          </cell>
        </row>
        <row r="16">
          <cell r="A16" t="str">
            <v>1994-12</v>
          </cell>
          <cell r="B16">
            <v>5.1975448699709501</v>
          </cell>
          <cell r="C16">
            <v>-6.0056733476319799</v>
          </cell>
          <cell r="D16">
            <v>-5.3368158895067204</v>
          </cell>
          <cell r="E16">
            <v>-8.4245909494590805</v>
          </cell>
          <cell r="F16">
            <v>0.74366994822945298</v>
          </cell>
        </row>
        <row r="17">
          <cell r="A17" t="str">
            <v>1995-01</v>
          </cell>
          <cell r="B17">
            <v>3.7648532391111802</v>
          </cell>
          <cell r="C17">
            <v>-3.9481819540507099</v>
          </cell>
          <cell r="D17">
            <v>-2.2225273012891198</v>
          </cell>
          <cell r="E17">
            <v>-9.2663710389990008</v>
          </cell>
          <cell r="F17">
            <v>0.93324696740111301</v>
          </cell>
        </row>
        <row r="18">
          <cell r="A18" t="str">
            <v>1995-02</v>
          </cell>
          <cell r="B18">
            <v>-4.73054152269144</v>
          </cell>
          <cell r="C18">
            <v>4.0054759271686002</v>
          </cell>
          <cell r="D18">
            <v>4.9028349800795104</v>
          </cell>
          <cell r="E18">
            <v>-7.5551710564269801</v>
          </cell>
          <cell r="F18">
            <v>0.821289357629573</v>
          </cell>
        </row>
        <row r="19">
          <cell r="A19" t="str">
            <v>1995-03</v>
          </cell>
          <cell r="B19">
            <v>1.5085867935506401</v>
          </cell>
          <cell r="C19">
            <v>1.4708781740743</v>
          </cell>
          <cell r="D19">
            <v>-1.8894737124238199</v>
          </cell>
          <cell r="E19">
            <v>-5.6883156697053101</v>
          </cell>
          <cell r="F19">
            <v>0.94583885667933698</v>
          </cell>
        </row>
        <row r="20">
          <cell r="A20" t="str">
            <v>1995-04</v>
          </cell>
          <cell r="B20">
            <v>-8.4698074950136899</v>
          </cell>
          <cell r="C20">
            <v>-2.1892617351340502</v>
          </cell>
          <cell r="D20">
            <v>0.68795428633279299</v>
          </cell>
          <cell r="E20">
            <v>-9.5808669688968209</v>
          </cell>
          <cell r="F20">
            <v>0.87022231109301595</v>
          </cell>
        </row>
        <row r="21">
          <cell r="A21" t="str">
            <v>1995-05</v>
          </cell>
          <cell r="B21">
            <v>-3.6153981390655199</v>
          </cell>
          <cell r="C21">
            <v>-4.7778276629035101</v>
          </cell>
          <cell r="D21">
            <v>-2.3983152344353198</v>
          </cell>
          <cell r="E21">
            <v>0.25947720862005103</v>
          </cell>
          <cell r="F21">
            <v>1.02123420979108</v>
          </cell>
        </row>
        <row r="22">
          <cell r="A22" t="str">
            <v>1995-06</v>
          </cell>
          <cell r="B22">
            <v>-6.0641479473447202</v>
          </cell>
          <cell r="C22">
            <v>0.34014056501663298</v>
          </cell>
          <cell r="D22">
            <v>1.67462210161864</v>
          </cell>
          <cell r="E22">
            <v>-6.5921109208680599</v>
          </cell>
          <cell r="F22">
            <v>0.96228981386770096</v>
          </cell>
        </row>
        <row r="23">
          <cell r="A23" t="str">
            <v>1995-07</v>
          </cell>
          <cell r="B23">
            <v>-1.7558851251283101</v>
          </cell>
          <cell r="C23">
            <v>1.1920688754361499</v>
          </cell>
          <cell r="D23">
            <v>-1.03510952914462</v>
          </cell>
          <cell r="E23">
            <v>3.00312167832677</v>
          </cell>
          <cell r="F23">
            <v>1.02767380835123</v>
          </cell>
        </row>
        <row r="24">
          <cell r="A24" t="str">
            <v>1995-08</v>
          </cell>
          <cell r="B24">
            <v>0.492820156154683</v>
          </cell>
          <cell r="C24">
            <v>-2.4487917985910399</v>
          </cell>
          <cell r="D24">
            <v>6.1647302442749101</v>
          </cell>
          <cell r="E24">
            <v>-5.2816758813555396</v>
          </cell>
          <cell r="F24">
            <v>1.01639120009691</v>
          </cell>
        </row>
        <row r="25">
          <cell r="A25" t="str">
            <v>1995-09</v>
          </cell>
          <cell r="B25">
            <v>-3.8769146450625001</v>
          </cell>
          <cell r="C25">
            <v>2.1428488005932098</v>
          </cell>
          <cell r="D25">
            <v>0.74375333905960495</v>
          </cell>
          <cell r="E25">
            <v>1.27065408413392</v>
          </cell>
          <cell r="F25">
            <v>0.94479447933195604</v>
          </cell>
        </row>
        <row r="26">
          <cell r="A26" t="str">
            <v>1995-10</v>
          </cell>
          <cell r="B26">
            <v>-1.03186053456834</v>
          </cell>
          <cell r="C26">
            <v>0.28976874815098702</v>
          </cell>
          <cell r="D26">
            <v>0.80707987374826196</v>
          </cell>
          <cell r="E26">
            <v>-5.2728939915661197</v>
          </cell>
          <cell r="F26">
            <v>1.05628456543301</v>
          </cell>
        </row>
        <row r="27">
          <cell r="A27" t="str">
            <v>1995-11</v>
          </cell>
          <cell r="B27">
            <v>-0.21307992528544201</v>
          </cell>
          <cell r="C27">
            <v>-2.9016934064961299</v>
          </cell>
          <cell r="D27">
            <v>-2.8842222144165999</v>
          </cell>
          <cell r="E27">
            <v>-14.7467466079808</v>
          </cell>
          <cell r="F27">
            <v>1.0058611548443099</v>
          </cell>
        </row>
        <row r="28">
          <cell r="A28" t="str">
            <v>1995-12</v>
          </cell>
          <cell r="B28">
            <v>-1.5578053543255299</v>
          </cell>
          <cell r="C28">
            <v>-1.3054962447379901</v>
          </cell>
          <cell r="D28">
            <v>0.35571988176397201</v>
          </cell>
          <cell r="E28">
            <v>3.6583448338618001</v>
          </cell>
          <cell r="F28">
            <v>0.97277558622137505</v>
          </cell>
        </row>
        <row r="29">
          <cell r="A29" t="str">
            <v>1996-01</v>
          </cell>
          <cell r="B29">
            <v>-5.7656677144743202</v>
          </cell>
          <cell r="C29">
            <v>-5.4421216060961104</v>
          </cell>
          <cell r="D29">
            <v>5.74703317836551</v>
          </cell>
          <cell r="E29">
            <v>-8.3167027815846097</v>
          </cell>
          <cell r="F29">
            <v>1.10769209392179</v>
          </cell>
        </row>
        <row r="30">
          <cell r="A30" t="str">
            <v>1996-02</v>
          </cell>
          <cell r="B30">
            <v>-2.3803657006452199</v>
          </cell>
          <cell r="C30">
            <v>-5.9293515447407898</v>
          </cell>
          <cell r="D30">
            <v>9.2873706328866504E-2</v>
          </cell>
          <cell r="E30">
            <v>14.1743772239011</v>
          </cell>
          <cell r="F30">
            <v>0.97277558622135296</v>
          </cell>
        </row>
        <row r="31">
          <cell r="A31" t="str">
            <v>1996-03</v>
          </cell>
          <cell r="B31">
            <v>-4.7017687673957704</v>
          </cell>
          <cell r="C31">
            <v>-7.7659503267213301</v>
          </cell>
          <cell r="D31">
            <v>7.0847068546575196</v>
          </cell>
          <cell r="E31">
            <v>-0.15465908086193</v>
          </cell>
          <cell r="F31">
            <v>0.97277558622135296</v>
          </cell>
        </row>
        <row r="32">
          <cell r="A32" t="str">
            <v>1996-04</v>
          </cell>
          <cell r="B32">
            <v>-10.603408292950199</v>
          </cell>
          <cell r="C32">
            <v>-0.534751021970992</v>
          </cell>
          <cell r="D32">
            <v>6.8878675352598302</v>
          </cell>
          <cell r="E32">
            <v>10.653747570537099</v>
          </cell>
          <cell r="F32">
            <v>1.0608815678457799</v>
          </cell>
        </row>
        <row r="33">
          <cell r="A33" t="str">
            <v>1996-05</v>
          </cell>
          <cell r="B33">
            <v>-4.0999924628563704</v>
          </cell>
          <cell r="C33">
            <v>-3.5763851409026599</v>
          </cell>
          <cell r="D33">
            <v>10.8766907527552</v>
          </cell>
          <cell r="E33">
            <v>-4.638892465004</v>
          </cell>
          <cell r="F33">
            <v>0.99621186370018</v>
          </cell>
        </row>
        <row r="34">
          <cell r="A34" t="str">
            <v>1996-06</v>
          </cell>
          <cell r="B34">
            <v>-5.2356717539134401</v>
          </cell>
          <cell r="C34">
            <v>-2.1926245774022499</v>
          </cell>
          <cell r="D34">
            <v>6.1261256553407204</v>
          </cell>
          <cell r="E34">
            <v>2.75446177007499</v>
          </cell>
          <cell r="F34">
            <v>0.90107519742419495</v>
          </cell>
        </row>
        <row r="35">
          <cell r="A35" t="str">
            <v>1996-07</v>
          </cell>
          <cell r="B35">
            <v>-4.5523415847045401</v>
          </cell>
          <cell r="C35">
            <v>-5.0930990246644701</v>
          </cell>
          <cell r="D35">
            <v>8.6006247011757804</v>
          </cell>
          <cell r="E35">
            <v>-11.4452513515446</v>
          </cell>
          <cell r="F35">
            <v>0.91630917580856097</v>
          </cell>
        </row>
        <row r="36">
          <cell r="A36" t="str">
            <v>1996-08</v>
          </cell>
          <cell r="B36">
            <v>0.81887810777703196</v>
          </cell>
          <cell r="C36">
            <v>-0.89193650927219503</v>
          </cell>
          <cell r="D36">
            <v>-4.3575927526882197</v>
          </cell>
          <cell r="E36">
            <v>-2.9296514908053202</v>
          </cell>
          <cell r="F36">
            <v>0.72874577699462195</v>
          </cell>
        </row>
        <row r="37">
          <cell r="A37" t="str">
            <v>1996-09</v>
          </cell>
          <cell r="B37">
            <v>-4.1927807810296596</v>
          </cell>
          <cell r="C37">
            <v>-1.9705874386275799</v>
          </cell>
          <cell r="D37">
            <v>2.8568200109192698</v>
          </cell>
          <cell r="E37">
            <v>-10.878222785833501</v>
          </cell>
          <cell r="F37">
            <v>0.81453225835492704</v>
          </cell>
        </row>
        <row r="38">
          <cell r="A38" t="str">
            <v>1996-10</v>
          </cell>
          <cell r="B38">
            <v>-4.06868624428754</v>
          </cell>
          <cell r="C38">
            <v>2.0604019418606798</v>
          </cell>
          <cell r="D38">
            <v>-1.88230329590825</v>
          </cell>
          <cell r="E38">
            <v>-4.8755422178368804</v>
          </cell>
          <cell r="F38">
            <v>0.80162280811215703</v>
          </cell>
        </row>
        <row r="39">
          <cell r="A39" t="str">
            <v>1996-11</v>
          </cell>
          <cell r="B39">
            <v>-2.5666331077024198</v>
          </cell>
          <cell r="C39">
            <v>2.7703238745586201</v>
          </cell>
          <cell r="D39">
            <v>3.3052189008150501</v>
          </cell>
          <cell r="E39">
            <v>-9.4522497498272404</v>
          </cell>
          <cell r="F39">
            <v>0.57013438354935897</v>
          </cell>
        </row>
        <row r="40">
          <cell r="A40" t="str">
            <v>1996-12</v>
          </cell>
          <cell r="B40">
            <v>-1.6994297081670999</v>
          </cell>
          <cell r="C40">
            <v>11.197788523675699</v>
          </cell>
          <cell r="D40">
            <v>-12.0644639200772</v>
          </cell>
          <cell r="E40">
            <v>7.5646033877917702</v>
          </cell>
          <cell r="F40">
            <v>0.687641393804306</v>
          </cell>
        </row>
        <row r="41">
          <cell r="A41" t="str">
            <v>1997-01</v>
          </cell>
          <cell r="B41">
            <v>-7.04526257054059</v>
          </cell>
          <cell r="C41">
            <v>3.1018913164556201</v>
          </cell>
          <cell r="D41">
            <v>-13.8693307227663</v>
          </cell>
          <cell r="E41">
            <v>6.2405700273669504</v>
          </cell>
          <cell r="F41">
            <v>0.66601032400504001</v>
          </cell>
        </row>
        <row r="42">
          <cell r="A42" t="str">
            <v>1997-02</v>
          </cell>
          <cell r="B42">
            <v>-13.282309052322301</v>
          </cell>
          <cell r="C42">
            <v>2.1909954652397299</v>
          </cell>
          <cell r="D42">
            <v>10.114780756759799</v>
          </cell>
          <cell r="E42">
            <v>3.6108988105850299</v>
          </cell>
          <cell r="F42">
            <v>0.57662402228568799</v>
          </cell>
        </row>
        <row r="43">
          <cell r="A43" t="str">
            <v>1997-03</v>
          </cell>
          <cell r="B43">
            <v>-7.2426525736535003</v>
          </cell>
          <cell r="C43">
            <v>-1.2739747528060299</v>
          </cell>
          <cell r="D43">
            <v>7.7848861384903802</v>
          </cell>
          <cell r="E43">
            <v>-5.5035805354212899</v>
          </cell>
          <cell r="F43">
            <v>0.64806160402122204</v>
          </cell>
        </row>
        <row r="44">
          <cell r="A44" t="str">
            <v>1997-04</v>
          </cell>
          <cell r="B44">
            <v>-8.7107122207231402</v>
          </cell>
          <cell r="C44">
            <v>-5.7082453175001202</v>
          </cell>
          <cell r="D44">
            <v>7.6186491900853897</v>
          </cell>
          <cell r="E44">
            <v>9.6927324440527105</v>
          </cell>
          <cell r="F44">
            <v>0.52777575479785499</v>
          </cell>
        </row>
        <row r="45">
          <cell r="A45" t="str">
            <v>1997-05</v>
          </cell>
          <cell r="B45">
            <v>-5.6409151456683002</v>
          </cell>
          <cell r="C45">
            <v>-8.8854068817117895</v>
          </cell>
          <cell r="D45">
            <v>11.7096384255102</v>
          </cell>
          <cell r="E45">
            <v>-1.52250259316062</v>
          </cell>
          <cell r="F45">
            <v>0.51590129396974505</v>
          </cell>
        </row>
        <row r="46">
          <cell r="A46" t="str">
            <v>1997-06</v>
          </cell>
          <cell r="B46">
            <v>-9.7571946940580592</v>
          </cell>
          <cell r="C46">
            <v>-5.7295577699178999</v>
          </cell>
          <cell r="D46">
            <v>3.1224764493392301</v>
          </cell>
          <cell r="E46">
            <v>12.384923705492</v>
          </cell>
          <cell r="F46">
            <v>0.56696974093122199</v>
          </cell>
        </row>
        <row r="47">
          <cell r="A47" t="str">
            <v>1997-07</v>
          </cell>
          <cell r="B47">
            <v>9.6417655953412407</v>
          </cell>
          <cell r="C47">
            <v>16.5823191911606</v>
          </cell>
          <cell r="D47">
            <v>-10.5263189730127</v>
          </cell>
          <cell r="E47">
            <v>3.2586497683781701</v>
          </cell>
          <cell r="F47">
            <v>0.56323760942642598</v>
          </cell>
        </row>
        <row r="48">
          <cell r="A48" t="str">
            <v>1997-08</v>
          </cell>
          <cell r="B48">
            <v>1.58616716738804</v>
          </cell>
          <cell r="C48">
            <v>-0.964484791848641</v>
          </cell>
          <cell r="D48">
            <v>-0.85597943400144105</v>
          </cell>
          <cell r="E48">
            <v>-9.2660817418933501</v>
          </cell>
          <cell r="F48">
            <v>0.51052478880060403</v>
          </cell>
        </row>
        <row r="49">
          <cell r="A49" t="str">
            <v>1997-09</v>
          </cell>
          <cell r="B49">
            <v>-9.5544334761096295</v>
          </cell>
          <cell r="C49">
            <v>-2.3036696836698698</v>
          </cell>
          <cell r="D49">
            <v>14.8112702958928</v>
          </cell>
          <cell r="E49">
            <v>-1.7587268318339599</v>
          </cell>
          <cell r="F49">
            <v>0.57386681300666298</v>
          </cell>
        </row>
        <row r="50">
          <cell r="A50" t="str">
            <v>1997-10</v>
          </cell>
          <cell r="B50">
            <v>-3.2942788336787499</v>
          </cell>
          <cell r="C50">
            <v>-4.6069552601816204</v>
          </cell>
          <cell r="D50">
            <v>4.0521112084189497</v>
          </cell>
          <cell r="E50">
            <v>-3.5665004139860499</v>
          </cell>
          <cell r="F50">
            <v>0.53745552302284505</v>
          </cell>
        </row>
        <row r="51">
          <cell r="A51" t="str">
            <v>1997-11</v>
          </cell>
          <cell r="B51">
            <v>0.89191823773506795</v>
          </cell>
          <cell r="C51">
            <v>-9.5142609361679806</v>
          </cell>
          <cell r="D51">
            <v>8.2020802065676293</v>
          </cell>
          <cell r="E51">
            <v>-6.4465150540008702</v>
          </cell>
          <cell r="F51">
            <v>0.47988475673799202</v>
          </cell>
        </row>
        <row r="52">
          <cell r="A52" t="str">
            <v>1997-12</v>
          </cell>
          <cell r="B52">
            <v>-0.96798531440880398</v>
          </cell>
          <cell r="C52">
            <v>0.768969918226037</v>
          </cell>
          <cell r="D52">
            <v>-5.46668729663691</v>
          </cell>
          <cell r="E52">
            <v>-9.8640983216491396E-2</v>
          </cell>
          <cell r="F52">
            <v>0.61284728128716504</v>
          </cell>
        </row>
        <row r="53">
          <cell r="A53" t="str">
            <v>1998-01</v>
          </cell>
          <cell r="B53">
            <v>1.7855161914391799</v>
          </cell>
          <cell r="C53">
            <v>5.0561735288704002</v>
          </cell>
          <cell r="D53">
            <v>-11.8920218519215</v>
          </cell>
          <cell r="E53">
            <v>-11.8141005988135</v>
          </cell>
          <cell r="F53">
            <v>0.575510520793032</v>
          </cell>
        </row>
        <row r="54">
          <cell r="A54" t="str">
            <v>1998-02</v>
          </cell>
          <cell r="B54">
            <v>-7.1049477124812599</v>
          </cell>
          <cell r="C54">
            <v>-5.8465150754402302</v>
          </cell>
          <cell r="D54">
            <v>6.3892951351784104</v>
          </cell>
          <cell r="E54">
            <v>10.881631638793699</v>
          </cell>
          <cell r="F54">
            <v>0.54389296426267097</v>
          </cell>
        </row>
        <row r="55">
          <cell r="A55" t="str">
            <v>1998-03</v>
          </cell>
          <cell r="B55">
            <v>2.5538549513025801</v>
          </cell>
          <cell r="C55">
            <v>2.74744926792467</v>
          </cell>
          <cell r="D55">
            <v>-18.763480775514601</v>
          </cell>
          <cell r="E55">
            <v>6.3526334460183103</v>
          </cell>
          <cell r="F55">
            <v>0.62183307019094702</v>
          </cell>
        </row>
        <row r="56">
          <cell r="A56" t="str">
            <v>1998-04</v>
          </cell>
          <cell r="B56">
            <v>4.6098053996525898</v>
          </cell>
          <cell r="C56">
            <v>10.0742981151179</v>
          </cell>
          <cell r="D56">
            <v>-9.9253499723792107</v>
          </cell>
          <cell r="E56">
            <v>6.5519819327059201</v>
          </cell>
          <cell r="F56">
            <v>0.58285546790359799</v>
          </cell>
        </row>
        <row r="57">
          <cell r="A57" t="str">
            <v>1998-05</v>
          </cell>
          <cell r="B57">
            <v>-1.0091246020939899</v>
          </cell>
          <cell r="C57">
            <v>9.7916409144096299</v>
          </cell>
          <cell r="D57">
            <v>3.6827200888434901</v>
          </cell>
          <cell r="E57">
            <v>-3.1620047857495099</v>
          </cell>
          <cell r="F57">
            <v>0.56039110775016898</v>
          </cell>
        </row>
        <row r="58">
          <cell r="A58" t="str">
            <v>1998-06</v>
          </cell>
          <cell r="B58">
            <v>1.15008399581746</v>
          </cell>
          <cell r="C58">
            <v>-14.430094737797599</v>
          </cell>
          <cell r="D58">
            <v>1.6704969779629499</v>
          </cell>
          <cell r="E58">
            <v>-17.003031299472099</v>
          </cell>
          <cell r="F58">
            <v>0.62183307019094702</v>
          </cell>
        </row>
        <row r="59">
          <cell r="A59" t="str">
            <v>1998-07</v>
          </cell>
          <cell r="B59">
            <v>4.34970289848515</v>
          </cell>
          <cell r="C59">
            <v>-11.1455756557207</v>
          </cell>
          <cell r="D59">
            <v>11.984968464933999</v>
          </cell>
          <cell r="E59">
            <v>-0.64419387551099005</v>
          </cell>
          <cell r="F59">
            <v>0.62467680934286096</v>
          </cell>
        </row>
        <row r="60">
          <cell r="A60" t="str">
            <v>1998-08</v>
          </cell>
          <cell r="B60">
            <v>6.5468248642821996</v>
          </cell>
          <cell r="C60">
            <v>6.5344128895156803</v>
          </cell>
          <cell r="D60">
            <v>-4.1348648618543704</v>
          </cell>
          <cell r="E60">
            <v>-3.5654404220622702</v>
          </cell>
          <cell r="F60">
            <v>0.63392557659791604</v>
          </cell>
        </row>
        <row r="61">
          <cell r="A61" t="str">
            <v>1998-09</v>
          </cell>
          <cell r="B61">
            <v>-1.46548875886121</v>
          </cell>
          <cell r="C61">
            <v>-1.2531701892755001</v>
          </cell>
          <cell r="D61">
            <v>-8.9646224962920407</v>
          </cell>
          <cell r="E61">
            <v>4.4268998305446496</v>
          </cell>
          <cell r="F61">
            <v>0.68219677194356598</v>
          </cell>
        </row>
        <row r="62">
          <cell r="A62" t="str">
            <v>1998-10</v>
          </cell>
          <cell r="B62">
            <v>3.1525918563592499</v>
          </cell>
          <cell r="C62">
            <v>1.2376451705149401</v>
          </cell>
          <cell r="D62">
            <v>0.74584824419274798</v>
          </cell>
          <cell r="E62">
            <v>-7.9759988249812697</v>
          </cell>
          <cell r="F62">
            <v>0.77216338226411296</v>
          </cell>
        </row>
        <row r="63">
          <cell r="A63" t="str">
            <v>1998-11</v>
          </cell>
          <cell r="B63">
            <v>-1.00686394929695</v>
          </cell>
          <cell r="C63">
            <v>2.2743552650036798</v>
          </cell>
          <cell r="D63">
            <v>-3.7475222424849099</v>
          </cell>
          <cell r="E63">
            <v>-2.5044987823340601</v>
          </cell>
          <cell r="F63">
            <v>0.75244672699967796</v>
          </cell>
        </row>
        <row r="64">
          <cell r="A64" t="str">
            <v>1998-12</v>
          </cell>
          <cell r="B64">
            <v>0.81126584551278702</v>
          </cell>
          <cell r="C64">
            <v>-9.3472615253413398</v>
          </cell>
          <cell r="D64">
            <v>-0.65496212448525903</v>
          </cell>
          <cell r="E64">
            <v>7.8076958795035596</v>
          </cell>
          <cell r="F64">
            <v>0.77126182428248802</v>
          </cell>
        </row>
        <row r="65">
          <cell r="A65" t="str">
            <v>1999-01</v>
          </cell>
          <cell r="B65">
            <v>4.1982517883507597</v>
          </cell>
          <cell r="C65">
            <v>2.21260300839652</v>
          </cell>
          <cell r="D65">
            <v>15.1939774177015</v>
          </cell>
          <cell r="E65">
            <v>6.6872800841852698</v>
          </cell>
          <cell r="F65">
            <v>0.72341100932757896</v>
          </cell>
        </row>
        <row r="66">
          <cell r="A66" t="str">
            <v>1999-02</v>
          </cell>
          <cell r="B66">
            <v>-0.90448957365379901</v>
          </cell>
          <cell r="C66">
            <v>-9.0000284935456598</v>
          </cell>
          <cell r="D66">
            <v>11.453748099304301</v>
          </cell>
          <cell r="E66">
            <v>0.32102473319297598</v>
          </cell>
          <cell r="F66">
            <v>0.72330388328969397</v>
          </cell>
        </row>
        <row r="67">
          <cell r="A67" t="str">
            <v>1999-03</v>
          </cell>
          <cell r="B67">
            <v>14.2769555234067</v>
          </cell>
          <cell r="C67">
            <v>-5.3822575822857699</v>
          </cell>
          <cell r="D67">
            <v>10.392647436045999</v>
          </cell>
          <cell r="E67">
            <v>7.2442221898475001</v>
          </cell>
          <cell r="F67">
            <v>0.75017361206031197</v>
          </cell>
        </row>
        <row r="68">
          <cell r="A68" t="str">
            <v>1999-04</v>
          </cell>
          <cell r="B68">
            <v>-6.4968469254575698</v>
          </cell>
          <cell r="C68">
            <v>1.3346718345942401</v>
          </cell>
          <cell r="D68">
            <v>-3.1624357523795998</v>
          </cell>
          <cell r="E68">
            <v>-10.1886326798183</v>
          </cell>
          <cell r="F68">
            <v>0.67619285365359005</v>
          </cell>
        </row>
        <row r="69">
          <cell r="A69" t="str">
            <v>1999-05</v>
          </cell>
          <cell r="B69">
            <v>-7.8397793798117297</v>
          </cell>
          <cell r="C69">
            <v>-0.89703416485850096</v>
          </cell>
          <cell r="D69">
            <v>-10.7636740849972</v>
          </cell>
          <cell r="E69">
            <v>12.015240475936499</v>
          </cell>
          <cell r="F69">
            <v>0.68828386493851001</v>
          </cell>
        </row>
        <row r="70">
          <cell r="A70" t="str">
            <v>1999-06</v>
          </cell>
          <cell r="B70">
            <v>-4.9151000695414702</v>
          </cell>
          <cell r="C70">
            <v>11.468585679160199</v>
          </cell>
          <cell r="D70">
            <v>-12.4957216130425</v>
          </cell>
          <cell r="E70">
            <v>4.7675062156216299</v>
          </cell>
          <cell r="F70">
            <v>0.70636815134312902</v>
          </cell>
        </row>
        <row r="71">
          <cell r="A71" t="str">
            <v>1999-07</v>
          </cell>
          <cell r="B71">
            <v>2.3854135275261501</v>
          </cell>
          <cell r="C71">
            <v>2.8603779296200602</v>
          </cell>
          <cell r="D71">
            <v>-0.32189320450467501</v>
          </cell>
          <cell r="E71">
            <v>11.424424477179</v>
          </cell>
          <cell r="F71">
            <v>0.73143335584187097</v>
          </cell>
        </row>
        <row r="72">
          <cell r="A72" t="str">
            <v>1999-08</v>
          </cell>
          <cell r="B72">
            <v>13.4189045474394</v>
          </cell>
          <cell r="C72">
            <v>8.8561117016573405</v>
          </cell>
          <cell r="D72">
            <v>-9.5387929278223709</v>
          </cell>
          <cell r="E72">
            <v>12.8258641373587</v>
          </cell>
          <cell r="F72">
            <v>0.77124085958313304</v>
          </cell>
        </row>
        <row r="73">
          <cell r="A73" t="str">
            <v>1999-09</v>
          </cell>
          <cell r="B73">
            <v>-6.1296401604806201</v>
          </cell>
          <cell r="C73">
            <v>-6.0627274651427898</v>
          </cell>
          <cell r="D73">
            <v>8.9336026703108899</v>
          </cell>
          <cell r="E73">
            <v>2.9789031723481898</v>
          </cell>
          <cell r="F73">
            <v>0.745064118460803</v>
          </cell>
        </row>
        <row r="74">
          <cell r="A74" t="str">
            <v>1999-10</v>
          </cell>
          <cell r="B74">
            <v>-4.2178818479243896</v>
          </cell>
          <cell r="C74">
            <v>22.5609830231984</v>
          </cell>
          <cell r="D74">
            <v>-1.6663650343987599</v>
          </cell>
          <cell r="E74">
            <v>-3.7899773746430299</v>
          </cell>
          <cell r="F74">
            <v>0.72013944041562405</v>
          </cell>
        </row>
        <row r="75">
          <cell r="A75" t="str">
            <v>1999-11</v>
          </cell>
          <cell r="B75">
            <v>2.4931725326573102</v>
          </cell>
          <cell r="C75">
            <v>-16.272347495608901</v>
          </cell>
          <cell r="D75">
            <v>16.109783812310599</v>
          </cell>
          <cell r="E75">
            <v>6.8187062789231101</v>
          </cell>
          <cell r="F75">
            <v>0.78785069448086298</v>
          </cell>
        </row>
        <row r="76">
          <cell r="A76" t="str">
            <v>1999-12</v>
          </cell>
          <cell r="B76">
            <v>12.5922413926413</v>
          </cell>
          <cell r="C76">
            <v>-6.1852822186387497</v>
          </cell>
          <cell r="D76">
            <v>30.4749624753102</v>
          </cell>
          <cell r="E76">
            <v>14.488547794791801</v>
          </cell>
          <cell r="F76">
            <v>0.701173881125849</v>
          </cell>
        </row>
        <row r="77">
          <cell r="A77" t="str">
            <v>2000-01</v>
          </cell>
          <cell r="B77">
            <v>-1.17993646261938</v>
          </cell>
          <cell r="C77">
            <v>-18.9660807542577</v>
          </cell>
          <cell r="D77">
            <v>7.7086765277166496</v>
          </cell>
          <cell r="E77">
            <v>5.6832470994832001</v>
          </cell>
          <cell r="F77">
            <v>0.75971046091825001</v>
          </cell>
        </row>
        <row r="78">
          <cell r="A78" t="str">
            <v>2000-02</v>
          </cell>
          <cell r="B78">
            <v>5.3138240944968604</v>
          </cell>
          <cell r="C78">
            <v>-6.4475690878149896</v>
          </cell>
          <cell r="D78">
            <v>26.674936610063899</v>
          </cell>
          <cell r="E78">
            <v>11.8716209023787</v>
          </cell>
          <cell r="F78">
            <v>0.66101674787688602</v>
          </cell>
        </row>
        <row r="79">
          <cell r="A79" t="str">
            <v>2000-03</v>
          </cell>
          <cell r="B79">
            <v>-6.0327837145027203</v>
          </cell>
          <cell r="C79">
            <v>4.3802031331277904</v>
          </cell>
          <cell r="D79">
            <v>-10.882651184844001</v>
          </cell>
          <cell r="E79">
            <v>-12.559522024314401</v>
          </cell>
          <cell r="F79">
            <v>0.74314419655387998</v>
          </cell>
        </row>
        <row r="80">
          <cell r="A80" t="str">
            <v>2000-04</v>
          </cell>
          <cell r="B80">
            <v>-5.4742891043377799</v>
          </cell>
          <cell r="C80">
            <v>-1.61606434463699</v>
          </cell>
          <cell r="D80">
            <v>-21.118911850009301</v>
          </cell>
          <cell r="E80">
            <v>-22.773564578935598</v>
          </cell>
          <cell r="F80">
            <v>0.62252240124007796</v>
          </cell>
        </row>
        <row r="81">
          <cell r="A81" t="str">
            <v>2000-05</v>
          </cell>
          <cell r="B81">
            <v>-9.3253184073560895</v>
          </cell>
          <cell r="C81">
            <v>16.433515869951901</v>
          </cell>
          <cell r="D81">
            <v>-19.781879965087899</v>
          </cell>
          <cell r="E81">
            <v>-9.5089224386705595</v>
          </cell>
          <cell r="F81">
            <v>0.70660811216325403</v>
          </cell>
        </row>
        <row r="82">
          <cell r="A82" t="str">
            <v>2000-06</v>
          </cell>
          <cell r="B82">
            <v>3.04630255430973</v>
          </cell>
          <cell r="C82">
            <v>-6.8614470424878604</v>
          </cell>
          <cell r="D82">
            <v>8.5982208938010203</v>
          </cell>
          <cell r="E82">
            <v>9.32418956098455</v>
          </cell>
          <cell r="F82">
            <v>0.701712695471857</v>
          </cell>
        </row>
        <row r="83">
          <cell r="A83" t="str">
            <v>2000-07</v>
          </cell>
          <cell r="B83">
            <v>-3.99108765320296</v>
          </cell>
          <cell r="C83">
            <v>3.69054309973464</v>
          </cell>
          <cell r="D83">
            <v>-10.6674093314884</v>
          </cell>
          <cell r="E83">
            <v>-11.5114712314294</v>
          </cell>
          <cell r="F83">
            <v>0.71858341279440496</v>
          </cell>
        </row>
        <row r="84">
          <cell r="A84" t="str">
            <v>2000-08</v>
          </cell>
          <cell r="B84">
            <v>3.9702919652696602</v>
          </cell>
          <cell r="C84">
            <v>-0.133119598924514</v>
          </cell>
          <cell r="D84">
            <v>2.5819424033861602</v>
          </cell>
          <cell r="E84">
            <v>6.5844068701430603</v>
          </cell>
          <cell r="F84">
            <v>0.786492633333435</v>
          </cell>
        </row>
        <row r="85">
          <cell r="A85" t="str">
            <v>2000-09</v>
          </cell>
          <cell r="B85">
            <v>-1.9753915552012</v>
          </cell>
          <cell r="C85">
            <v>5.6763768175150497</v>
          </cell>
          <cell r="D85">
            <v>-2.7303403115733098</v>
          </cell>
          <cell r="E85">
            <v>-10.9120270585202</v>
          </cell>
          <cell r="F85">
            <v>0.78265826872421196</v>
          </cell>
        </row>
        <row r="86">
          <cell r="A86" t="str">
            <v>2000-10</v>
          </cell>
          <cell r="B86">
            <v>-2.6542942569874199</v>
          </cell>
          <cell r="C86">
            <v>8.4327518270464097</v>
          </cell>
          <cell r="D86">
            <v>-6.1043137908769696</v>
          </cell>
          <cell r="E86">
            <v>-8.7993240519958693</v>
          </cell>
          <cell r="F86">
            <v>0.82248989387660998</v>
          </cell>
        </row>
        <row r="87">
          <cell r="A87" t="str">
            <v>2000-11</v>
          </cell>
          <cell r="B87">
            <v>-4.9016543906160503</v>
          </cell>
          <cell r="C87">
            <v>14.164962315652801</v>
          </cell>
          <cell r="D87">
            <v>-9.2145534309881594</v>
          </cell>
          <cell r="E87">
            <v>7.0375921337192802</v>
          </cell>
          <cell r="F87">
            <v>0.72180906232972597</v>
          </cell>
        </row>
        <row r="88">
          <cell r="A88" t="str">
            <v>2000-12</v>
          </cell>
          <cell r="B88">
            <v>-1.9085132174950299</v>
          </cell>
          <cell r="C88">
            <v>5.0750066206915596</v>
          </cell>
          <cell r="D88">
            <v>0.732486014046141</v>
          </cell>
          <cell r="E88">
            <v>-2.34796797082867</v>
          </cell>
          <cell r="F88">
            <v>0.68282762844886802</v>
          </cell>
        </row>
        <row r="89">
          <cell r="A89" t="str">
            <v>2001-01</v>
          </cell>
          <cell r="B89">
            <v>-9.9087506208563898</v>
          </cell>
          <cell r="C89">
            <v>5.4835144405665597</v>
          </cell>
          <cell r="D89">
            <v>6.6276535718042799</v>
          </cell>
          <cell r="E89">
            <v>6.5610677838040798</v>
          </cell>
          <cell r="F89">
            <v>0.76770694415628804</v>
          </cell>
        </row>
        <row r="90">
          <cell r="A90" t="str">
            <v>2001-02</v>
          </cell>
          <cell r="B90">
            <v>-2.40274076668676</v>
          </cell>
          <cell r="C90">
            <v>12.3329348935981</v>
          </cell>
          <cell r="D90">
            <v>16.368006419807699</v>
          </cell>
          <cell r="E90">
            <v>-4.2318818337212898</v>
          </cell>
          <cell r="F90">
            <v>0.63505649970876399</v>
          </cell>
        </row>
        <row r="91">
          <cell r="A91" t="str">
            <v>2001-03</v>
          </cell>
          <cell r="B91">
            <v>-7.0200863872927597</v>
          </cell>
          <cell r="C91">
            <v>-3.6653762250988899</v>
          </cell>
          <cell r="D91">
            <v>35.819305189559003</v>
          </cell>
          <cell r="E91">
            <v>-21.720447008018901</v>
          </cell>
          <cell r="F91">
            <v>0.65105529397917505</v>
          </cell>
        </row>
        <row r="92">
          <cell r="A92" t="str">
            <v>2001-04</v>
          </cell>
          <cell r="B92">
            <v>-6.50762101065789</v>
          </cell>
          <cell r="C92">
            <v>3.5136900794964001</v>
          </cell>
          <cell r="D92">
            <v>-3.2615238770224102</v>
          </cell>
          <cell r="E92">
            <v>-1.84892760244014</v>
          </cell>
          <cell r="F92">
            <v>0.679253319040241</v>
          </cell>
        </row>
        <row r="93">
          <cell r="A93" t="str">
            <v>2001-05</v>
          </cell>
          <cell r="B93">
            <v>4.4708133502287</v>
          </cell>
          <cell r="C93">
            <v>0.69981009314430398</v>
          </cell>
          <cell r="D93">
            <v>-7.9171792499741702</v>
          </cell>
          <cell r="E93">
            <v>6.0679081252955198</v>
          </cell>
          <cell r="F93">
            <v>0.62840027794033304</v>
          </cell>
        </row>
        <row r="94">
          <cell r="A94" t="str">
            <v>2001-06</v>
          </cell>
          <cell r="B94">
            <v>-3.4915713090937399</v>
          </cell>
          <cell r="C94">
            <v>-7.99240974100704</v>
          </cell>
          <cell r="D94">
            <v>4.8346126531021403</v>
          </cell>
          <cell r="E94">
            <v>-8.2115933209137797</v>
          </cell>
          <cell r="F94">
            <v>0.56123998081947202</v>
          </cell>
        </row>
        <row r="95">
          <cell r="A95" t="str">
            <v>2001-07</v>
          </cell>
          <cell r="B95">
            <v>-3.7713293242706798</v>
          </cell>
          <cell r="C95">
            <v>-0.80358468258595595</v>
          </cell>
          <cell r="D95">
            <v>16.7162541606966</v>
          </cell>
          <cell r="E95">
            <v>-4.58457933585386</v>
          </cell>
          <cell r="F95">
            <v>0.60063246766990397</v>
          </cell>
        </row>
        <row r="96">
          <cell r="A96" t="str">
            <v>2001-08</v>
          </cell>
          <cell r="B96">
            <v>5.0197309860700496</v>
          </cell>
          <cell r="C96">
            <v>-2.46516309202869</v>
          </cell>
          <cell r="D96">
            <v>-5.5325977092677601</v>
          </cell>
          <cell r="E96">
            <v>-1.38691931878357</v>
          </cell>
          <cell r="F96">
            <v>0.57070198452176002</v>
          </cell>
        </row>
        <row r="97">
          <cell r="A97" t="str">
            <v>2001-09</v>
          </cell>
          <cell r="B97">
            <v>0.489292359368521</v>
          </cell>
          <cell r="C97">
            <v>-0.37880318264681401</v>
          </cell>
          <cell r="D97">
            <v>21.193654227274799</v>
          </cell>
          <cell r="E97">
            <v>-14.2230121596192</v>
          </cell>
          <cell r="F97">
            <v>0.51823174516192305</v>
          </cell>
        </row>
        <row r="98">
          <cell r="A98" t="str">
            <v>2001-10</v>
          </cell>
          <cell r="B98">
            <v>2.8462948615296999</v>
          </cell>
          <cell r="C98">
            <v>0.23673723985426801</v>
          </cell>
          <cell r="D98">
            <v>-13.325100124186401</v>
          </cell>
          <cell r="E98">
            <v>5.0626334889475997</v>
          </cell>
          <cell r="F98">
            <v>0.60466202774904798</v>
          </cell>
        </row>
        <row r="99">
          <cell r="A99" t="str">
            <v>2001-11</v>
          </cell>
          <cell r="B99">
            <v>8.4332214687085099</v>
          </cell>
          <cell r="C99">
            <v>-0.34061943739703798</v>
          </cell>
          <cell r="D99">
            <v>-27.614830891038501</v>
          </cell>
          <cell r="E99">
            <v>12.422801242814399</v>
          </cell>
          <cell r="F99">
            <v>0.51681644636156798</v>
          </cell>
        </row>
        <row r="100">
          <cell r="A100" t="str">
            <v>2001-12</v>
          </cell>
          <cell r="B100">
            <v>1.1158938814960699</v>
          </cell>
          <cell r="C100">
            <v>-5.23812054403201</v>
          </cell>
          <cell r="D100">
            <v>-3.71471067466838</v>
          </cell>
          <cell r="E100">
            <v>-0.38047191753750598</v>
          </cell>
          <cell r="F100">
            <v>0.57599469226101696</v>
          </cell>
        </row>
        <row r="101">
          <cell r="A101" t="str">
            <v>2002-01</v>
          </cell>
          <cell r="B101">
            <v>-1.4917357235520301</v>
          </cell>
          <cell r="C101">
            <v>-5.7256774563719803</v>
          </cell>
          <cell r="D101">
            <v>5.66966530429365</v>
          </cell>
          <cell r="E101">
            <v>1.81413280900133</v>
          </cell>
          <cell r="F101">
            <v>0.56141957071096404</v>
          </cell>
        </row>
        <row r="102">
          <cell r="A102" t="str">
            <v>2002-02</v>
          </cell>
          <cell r="B102">
            <v>-13.833203135574999</v>
          </cell>
          <cell r="C102">
            <v>5.1667555481593297</v>
          </cell>
          <cell r="D102">
            <v>9.4276837757168792</v>
          </cell>
          <cell r="E102">
            <v>8.8124149919634398</v>
          </cell>
          <cell r="F102">
            <v>0.47301352063746599</v>
          </cell>
        </row>
        <row r="103">
          <cell r="A103" t="str">
            <v>2002-03</v>
          </cell>
          <cell r="B103">
            <v>1.61073695931786</v>
          </cell>
          <cell r="C103">
            <v>-5.9632671916017603</v>
          </cell>
          <cell r="D103">
            <v>7.8647323270871503</v>
          </cell>
          <cell r="E103">
            <v>2.3450026485218398</v>
          </cell>
          <cell r="F103">
            <v>0.45506883537571602</v>
          </cell>
        </row>
        <row r="104">
          <cell r="A104" t="str">
            <v>2002-04</v>
          </cell>
          <cell r="B104">
            <v>4.5647006666524197</v>
          </cell>
          <cell r="C104">
            <v>2.3866452815250998</v>
          </cell>
          <cell r="D104">
            <v>4.3333307213583998</v>
          </cell>
          <cell r="E104">
            <v>1.8511005978237201</v>
          </cell>
          <cell r="F104">
            <v>0.52261276915006605</v>
          </cell>
        </row>
        <row r="105">
          <cell r="A105" t="str">
            <v>2002-05</v>
          </cell>
          <cell r="B105">
            <v>-1.1405737057071199</v>
          </cell>
          <cell r="C105">
            <v>24.6427799124932</v>
          </cell>
          <cell r="D105">
            <v>-4.2655888231088701</v>
          </cell>
          <cell r="E105">
            <v>-4.7252191643553898</v>
          </cell>
          <cell r="F105">
            <v>0.54187622867489804</v>
          </cell>
        </row>
        <row r="106">
          <cell r="A106" t="str">
            <v>2002-06</v>
          </cell>
          <cell r="B106">
            <v>12.4870018218292</v>
          </cell>
          <cell r="C106">
            <v>24.523566229384301</v>
          </cell>
          <cell r="D106">
            <v>-3.6725421387866399</v>
          </cell>
          <cell r="E106">
            <v>4.40845226317066</v>
          </cell>
          <cell r="F106">
            <v>0.47782083710399298</v>
          </cell>
        </row>
        <row r="107">
          <cell r="A107" t="str">
            <v>2002-07</v>
          </cell>
          <cell r="B107">
            <v>-7.8812212469413598</v>
          </cell>
          <cell r="C107">
            <v>-7.9280834923336698</v>
          </cell>
          <cell r="D107">
            <v>1.0696666641077299</v>
          </cell>
          <cell r="E107">
            <v>-9.1317792060737197</v>
          </cell>
          <cell r="F107">
            <v>0.51597769588700404</v>
          </cell>
        </row>
        <row r="108">
          <cell r="A108" t="str">
            <v>2002-08</v>
          </cell>
          <cell r="B108">
            <v>-2.7012436770424801</v>
          </cell>
          <cell r="C108">
            <v>-4.8528730886274598</v>
          </cell>
          <cell r="D108">
            <v>-2.3061852363315398</v>
          </cell>
          <cell r="E108">
            <v>4.9791178075479197</v>
          </cell>
          <cell r="F108">
            <v>0.464390641066248</v>
          </cell>
        </row>
        <row r="109">
          <cell r="A109" t="str">
            <v>2002-09</v>
          </cell>
          <cell r="B109">
            <v>1.7989772645636199</v>
          </cell>
          <cell r="C109">
            <v>-1.04059258014524</v>
          </cell>
          <cell r="D109">
            <v>-3.55913986676067</v>
          </cell>
          <cell r="E109">
            <v>-6.7523250834086497</v>
          </cell>
          <cell r="F109">
            <v>0.47433853532841103</v>
          </cell>
        </row>
        <row r="110">
          <cell r="A110" t="str">
            <v>2002-10</v>
          </cell>
          <cell r="B110">
            <v>-5.1851757487270804</v>
          </cell>
          <cell r="C110">
            <v>1.0773072765977401</v>
          </cell>
          <cell r="D110">
            <v>8.5730509340145495</v>
          </cell>
          <cell r="E110">
            <v>-0.91499388026510298</v>
          </cell>
          <cell r="F110">
            <v>0.47508909705837898</v>
          </cell>
        </row>
        <row r="111">
          <cell r="A111" t="str">
            <v>2002-11</v>
          </cell>
          <cell r="B111">
            <v>0.92225828854275405</v>
          </cell>
          <cell r="C111">
            <v>4.1221000709180702</v>
          </cell>
          <cell r="D111">
            <v>-9.0605694926590594</v>
          </cell>
          <cell r="E111">
            <v>6.4439869035872697</v>
          </cell>
          <cell r="F111">
            <v>0.42381701915965603</v>
          </cell>
        </row>
        <row r="112">
          <cell r="A112" t="str">
            <v>2002-12</v>
          </cell>
          <cell r="B112">
            <v>-1.1820570366268499</v>
          </cell>
          <cell r="C112">
            <v>-1.6424877688172399</v>
          </cell>
          <cell r="D112">
            <v>3.5984045950588501</v>
          </cell>
          <cell r="E112">
            <v>3.8776151532584602</v>
          </cell>
          <cell r="F112">
            <v>0.45620243794837201</v>
          </cell>
        </row>
        <row r="113">
          <cell r="A113" t="str">
            <v>2003-01</v>
          </cell>
          <cell r="B113">
            <v>-4.7365789397678899</v>
          </cell>
          <cell r="C113">
            <v>1.7248676942555099</v>
          </cell>
          <cell r="D113">
            <v>8.7187325111787608</v>
          </cell>
          <cell r="E113">
            <v>-3.6718918144364001</v>
          </cell>
          <cell r="F113">
            <v>0.45151925170847701</v>
          </cell>
        </row>
        <row r="114">
          <cell r="A114" t="str">
            <v>2003-02</v>
          </cell>
          <cell r="B114">
            <v>-2.6021599012062202</v>
          </cell>
          <cell r="C114">
            <v>-1.3428679566294599</v>
          </cell>
          <cell r="D114">
            <v>3.5755844858921901</v>
          </cell>
          <cell r="E114">
            <v>1.5424742000279501</v>
          </cell>
          <cell r="F114">
            <v>0.42480127202755302</v>
          </cell>
        </row>
        <row r="115">
          <cell r="A115" t="str">
            <v>2003-03</v>
          </cell>
          <cell r="B115">
            <v>-4.72167094048078</v>
          </cell>
          <cell r="C115">
            <v>-5.1773201949194299</v>
          </cell>
          <cell r="D115">
            <v>5.3159690982238299</v>
          </cell>
          <cell r="E115">
            <v>-8.7692474352914704</v>
          </cell>
          <cell r="F115">
            <v>0.47925887101520898</v>
          </cell>
        </row>
        <row r="116">
          <cell r="A116" t="str">
            <v>2003-04</v>
          </cell>
          <cell r="B116">
            <v>3.0532317352609502</v>
          </cell>
          <cell r="C116">
            <v>2.57762164638295</v>
          </cell>
          <cell r="D116">
            <v>-2.6177722316945</v>
          </cell>
          <cell r="E116">
            <v>-0.88379885353104803</v>
          </cell>
          <cell r="F116">
            <v>0.42184219674101803</v>
          </cell>
        </row>
        <row r="117">
          <cell r="A117" t="str">
            <v>2003-05</v>
          </cell>
          <cell r="B117">
            <v>4.2987207466861799</v>
          </cell>
          <cell r="C117">
            <v>9.4271923448813606</v>
          </cell>
          <cell r="D117">
            <v>7.2242634477999204</v>
          </cell>
          <cell r="E117">
            <v>15.2495226251903</v>
          </cell>
          <cell r="F117">
            <v>0.36450334765294501</v>
          </cell>
        </row>
        <row r="118">
          <cell r="A118" t="str">
            <v>2003-06</v>
          </cell>
          <cell r="B118">
            <v>2.89511256140185</v>
          </cell>
          <cell r="C118">
            <v>6.0002480823013702</v>
          </cell>
          <cell r="D118">
            <v>-6.4891008323068302</v>
          </cell>
          <cell r="E118">
            <v>12.185079309990799</v>
          </cell>
          <cell r="F118">
            <v>0.408283447864077</v>
          </cell>
        </row>
        <row r="119">
          <cell r="A119" t="str">
            <v>2003-07</v>
          </cell>
          <cell r="B119">
            <v>5.0524592874226402</v>
          </cell>
          <cell r="C119">
            <v>3.1938504521008801</v>
          </cell>
          <cell r="D119">
            <v>1.24060937013255</v>
          </cell>
          <cell r="E119">
            <v>4.7970590067479204</v>
          </cell>
          <cell r="F119">
            <v>0.40710120162492602</v>
          </cell>
        </row>
        <row r="120">
          <cell r="A120" t="str">
            <v>2003-08</v>
          </cell>
          <cell r="B120">
            <v>-8.0607797174446407</v>
          </cell>
          <cell r="C120">
            <v>3.85801972815021</v>
          </cell>
          <cell r="D120">
            <v>7.0848802390045797</v>
          </cell>
          <cell r="E120">
            <v>18.357316851090498</v>
          </cell>
          <cell r="F120">
            <v>0.380055162544712</v>
          </cell>
        </row>
        <row r="121">
          <cell r="A121" t="str">
            <v>2003-09</v>
          </cell>
          <cell r="B121">
            <v>-2.4009521829506002</v>
          </cell>
          <cell r="C121">
            <v>-16.5298471928844</v>
          </cell>
          <cell r="D121">
            <v>0.96279597166168995</v>
          </cell>
          <cell r="E121">
            <v>3.3402604483703899</v>
          </cell>
          <cell r="F121">
            <v>0.39725098768084199</v>
          </cell>
        </row>
        <row r="122">
          <cell r="A122" t="str">
            <v>2003-10</v>
          </cell>
          <cell r="B122">
            <v>-3.9536500944014401</v>
          </cell>
          <cell r="C122">
            <v>-3.1622981664846899</v>
          </cell>
          <cell r="D122">
            <v>4.8263166079944204</v>
          </cell>
          <cell r="E122">
            <v>5.5538228720584604</v>
          </cell>
          <cell r="F122">
            <v>0.37807572372965398</v>
          </cell>
        </row>
        <row r="123">
          <cell r="A123" t="str">
            <v>2003-11</v>
          </cell>
          <cell r="B123">
            <v>8.5209454637943196</v>
          </cell>
          <cell r="C123">
            <v>13.8800870880535</v>
          </cell>
          <cell r="D123">
            <v>-5.7642592619828497</v>
          </cell>
          <cell r="E123">
            <v>6.9693406118775298</v>
          </cell>
          <cell r="F123">
            <v>0.339181041663705</v>
          </cell>
        </row>
        <row r="124">
          <cell r="A124" t="str">
            <v>2003-12</v>
          </cell>
          <cell r="B124">
            <v>4.3804664920455503</v>
          </cell>
          <cell r="C124">
            <v>10.1043042602612</v>
          </cell>
          <cell r="D124">
            <v>-2.9830246401060201</v>
          </cell>
          <cell r="E124">
            <v>18.940778630605202</v>
          </cell>
          <cell r="F124">
            <v>0.37272870410991499</v>
          </cell>
        </row>
        <row r="125">
          <cell r="A125" t="str">
            <v>2004-01</v>
          </cell>
          <cell r="B125">
            <v>-9.3259619055576</v>
          </cell>
          <cell r="C125">
            <v>-5.0096517288057996</v>
          </cell>
          <cell r="D125">
            <v>3.5046968361671902</v>
          </cell>
          <cell r="E125">
            <v>-6.2089952900192804</v>
          </cell>
          <cell r="F125">
            <v>0.34201973233689598</v>
          </cell>
        </row>
        <row r="126">
          <cell r="A126" t="str">
            <v>2004-02</v>
          </cell>
          <cell r="B126">
            <v>-2.3361764754486298</v>
          </cell>
          <cell r="C126">
            <v>-7.3598869928317097</v>
          </cell>
          <cell r="D126">
            <v>4.4975997224778999</v>
          </cell>
          <cell r="E126">
            <v>-1.4155769099089599</v>
          </cell>
          <cell r="F126">
            <v>0.32768113523711201</v>
          </cell>
        </row>
        <row r="127">
          <cell r="A127" t="str">
            <v>2004-03</v>
          </cell>
          <cell r="B127">
            <v>-3.82728278989154</v>
          </cell>
          <cell r="C127">
            <v>3.3642584228799101E-2</v>
          </cell>
          <cell r="D127">
            <v>7.9973565532238</v>
          </cell>
          <cell r="E127">
            <v>-0.92017691154412395</v>
          </cell>
          <cell r="F127">
            <v>0.37886661573909303</v>
          </cell>
        </row>
        <row r="128">
          <cell r="A128" t="str">
            <v>2004-04</v>
          </cell>
          <cell r="B128">
            <v>7.4593797898518703</v>
          </cell>
          <cell r="C128">
            <v>5.4899437199213796</v>
          </cell>
          <cell r="D128">
            <v>3.5713652296394298</v>
          </cell>
          <cell r="E128">
            <v>3.0203458024363101</v>
          </cell>
          <cell r="F128">
            <v>0.35224365726982398</v>
          </cell>
        </row>
        <row r="129">
          <cell r="A129" t="str">
            <v>2004-05</v>
          </cell>
          <cell r="B129">
            <v>5.3322515189408302</v>
          </cell>
          <cell r="C129">
            <v>-3.67363633244678</v>
          </cell>
          <cell r="D129">
            <v>-11.896137246758499</v>
          </cell>
          <cell r="E129">
            <v>-17.729229192454099</v>
          </cell>
          <cell r="F129">
            <v>0.36602995802668098</v>
          </cell>
        </row>
        <row r="130">
          <cell r="A130" t="str">
            <v>2004-06</v>
          </cell>
          <cell r="B130">
            <v>-1.17985047687944</v>
          </cell>
          <cell r="C130">
            <v>-0.10109213961786399</v>
          </cell>
          <cell r="D130">
            <v>2.6601943225715901</v>
          </cell>
          <cell r="E130">
            <v>1.5096810125887501</v>
          </cell>
          <cell r="F130">
            <v>0.35783434456322399</v>
          </cell>
        </row>
        <row r="131">
          <cell r="A131" t="str">
            <v>2004-07</v>
          </cell>
          <cell r="B131">
            <v>0.43296221144351099</v>
          </cell>
          <cell r="C131">
            <v>5.8627545599428297</v>
          </cell>
          <cell r="D131">
            <v>5.2844434928631197</v>
          </cell>
          <cell r="E131">
            <v>8.9597131471472995</v>
          </cell>
          <cell r="F131">
            <v>0.360524078595925</v>
          </cell>
        </row>
        <row r="132">
          <cell r="A132" t="str">
            <v>2004-08</v>
          </cell>
          <cell r="B132">
            <v>11.747231435107</v>
          </cell>
          <cell r="C132">
            <v>2.9000036721965401</v>
          </cell>
          <cell r="D132">
            <v>0.50831001267028797</v>
          </cell>
          <cell r="E132">
            <v>2.3686137669854501</v>
          </cell>
          <cell r="F132">
            <v>0.40498291596886599</v>
          </cell>
        </row>
        <row r="133">
          <cell r="A133" t="str">
            <v>2004-09</v>
          </cell>
          <cell r="B133">
            <v>0.98111052146341304</v>
          </cell>
          <cell r="C133">
            <v>9.3375117490495807</v>
          </cell>
          <cell r="D133">
            <v>-2.22654802775005</v>
          </cell>
          <cell r="E133">
            <v>7.7152769797934404</v>
          </cell>
          <cell r="F133">
            <v>0.37977090391365698</v>
          </cell>
        </row>
        <row r="134">
          <cell r="A134" t="str">
            <v>2004-10</v>
          </cell>
          <cell r="B134">
            <v>2.4252077742215499</v>
          </cell>
          <cell r="C134">
            <v>2.1024980538381302</v>
          </cell>
          <cell r="D134">
            <v>6.2230565355066503</v>
          </cell>
          <cell r="E134">
            <v>1.7823235575084</v>
          </cell>
          <cell r="F134">
            <v>0.39662234191235601</v>
          </cell>
        </row>
        <row r="135">
          <cell r="A135" t="str">
            <v>2004-11</v>
          </cell>
          <cell r="B135">
            <v>4.2663058062066597</v>
          </cell>
          <cell r="C135">
            <v>14.0621502756984</v>
          </cell>
          <cell r="D135">
            <v>-0.76035486374926897</v>
          </cell>
          <cell r="E135">
            <v>8.2871565838910097</v>
          </cell>
          <cell r="F135">
            <v>0.46817790685320698</v>
          </cell>
        </row>
        <row r="136">
          <cell r="A136" t="str">
            <v>2004-12</v>
          </cell>
          <cell r="B136">
            <v>3.5258330271781699</v>
          </cell>
          <cell r="C136">
            <v>3.3390770597632198</v>
          </cell>
          <cell r="D136">
            <v>3.1686362935911401</v>
          </cell>
          <cell r="E136">
            <v>8.1111013278847306</v>
          </cell>
          <cell r="F136">
            <v>0.43972045855054098</v>
          </cell>
        </row>
        <row r="137">
          <cell r="A137" t="str">
            <v>2005-01</v>
          </cell>
          <cell r="B137">
            <v>1.8540347092207901</v>
          </cell>
          <cell r="C137">
            <v>-4.1738009526937496</v>
          </cell>
          <cell r="D137">
            <v>3.4220856009642202</v>
          </cell>
          <cell r="E137">
            <v>-1.7500689626889201</v>
          </cell>
          <cell r="F137">
            <v>0.44165725953220197</v>
          </cell>
        </row>
        <row r="138">
          <cell r="A138" t="str">
            <v>2005-02</v>
          </cell>
          <cell r="B138">
            <v>3.80912751622051</v>
          </cell>
          <cell r="C138">
            <v>3.0358814200624802</v>
          </cell>
          <cell r="D138">
            <v>5.9384059369098896</v>
          </cell>
          <cell r="E138">
            <v>3.4427647509725801</v>
          </cell>
          <cell r="F138">
            <v>0.39382352884622701</v>
          </cell>
        </row>
        <row r="139">
          <cell r="A139" t="str">
            <v>2005-03</v>
          </cell>
          <cell r="B139">
            <v>5.3682999266005096</v>
          </cell>
          <cell r="C139">
            <v>-1.1305097852944399</v>
          </cell>
          <cell r="D139">
            <v>4.5671010180549096</v>
          </cell>
          <cell r="E139">
            <v>-3.72775880302803</v>
          </cell>
          <cell r="F139">
            <v>0.434989303322042</v>
          </cell>
        </row>
        <row r="140">
          <cell r="A140" t="str">
            <v>2005-04</v>
          </cell>
          <cell r="B140">
            <v>5.27802307037026</v>
          </cell>
          <cell r="C140">
            <v>2.41110388416201</v>
          </cell>
          <cell r="D140">
            <v>-6.8710045992413402</v>
          </cell>
          <cell r="E140">
            <v>-3.4467009103922002</v>
          </cell>
          <cell r="F140">
            <v>0.40485454400749399</v>
          </cell>
        </row>
        <row r="141">
          <cell r="A141" t="str">
            <v>2005-05</v>
          </cell>
          <cell r="B141">
            <v>3.1301913886177202</v>
          </cell>
          <cell r="C141">
            <v>12.1251588170574</v>
          </cell>
          <cell r="D141">
            <v>-3.6564495625313702</v>
          </cell>
          <cell r="E141">
            <v>8.4126680091067794</v>
          </cell>
          <cell r="F141">
            <v>0.44312294575363798</v>
          </cell>
        </row>
        <row r="142">
          <cell r="A142" t="str">
            <v>2005-06</v>
          </cell>
          <cell r="B142">
            <v>0.753175847612786</v>
          </cell>
          <cell r="C142">
            <v>2.4998603464353</v>
          </cell>
          <cell r="D142">
            <v>1.27696330722433</v>
          </cell>
          <cell r="E142">
            <v>3.4725426561078798</v>
          </cell>
          <cell r="F142">
            <v>0.42255515864628701</v>
          </cell>
        </row>
        <row r="143">
          <cell r="A143" t="str">
            <v>2005-07</v>
          </cell>
          <cell r="B143">
            <v>1.9545864814671099</v>
          </cell>
          <cell r="C143">
            <v>1.58612168304835</v>
          </cell>
          <cell r="D143">
            <v>6.6993807674350601</v>
          </cell>
          <cell r="E143">
            <v>5.9903976922201796</v>
          </cell>
          <cell r="F143">
            <v>0.42129926354772501</v>
          </cell>
        </row>
        <row r="144">
          <cell r="A144" t="str">
            <v>2005-08</v>
          </cell>
          <cell r="B144">
            <v>11.5126839802709</v>
          </cell>
          <cell r="C144">
            <v>7.5813546886852397</v>
          </cell>
          <cell r="D144">
            <v>1.6773010227270699</v>
          </cell>
          <cell r="E144">
            <v>7.2366348944237</v>
          </cell>
          <cell r="F144">
            <v>0.466639135680746</v>
          </cell>
        </row>
        <row r="145">
          <cell r="A145" t="str">
            <v>2005-09</v>
          </cell>
          <cell r="B145">
            <v>-9.1216913651386804</v>
          </cell>
          <cell r="C145">
            <v>-6.0788663832071297</v>
          </cell>
          <cell r="D145">
            <v>2.4276639814968502E-2</v>
          </cell>
          <cell r="E145">
            <v>5.1057768232179601</v>
          </cell>
          <cell r="F145">
            <v>0.41577986919103499</v>
          </cell>
        </row>
        <row r="146">
          <cell r="A146" t="str">
            <v>2005-10</v>
          </cell>
          <cell r="B146">
            <v>-3.8006967372255001</v>
          </cell>
          <cell r="C146">
            <v>-4.8181992136721403</v>
          </cell>
          <cell r="D146">
            <v>-6.0620605856513698</v>
          </cell>
          <cell r="E146">
            <v>-9.3285412454726693</v>
          </cell>
          <cell r="F146">
            <v>0.45466472449999801</v>
          </cell>
        </row>
        <row r="147">
          <cell r="A147" t="str">
            <v>2005-11</v>
          </cell>
          <cell r="B147">
            <v>0.84346472063252498</v>
          </cell>
          <cell r="C147">
            <v>-2.2277053259714901</v>
          </cell>
          <cell r="D147">
            <v>2.5615108799319701</v>
          </cell>
          <cell r="E147">
            <v>11.5603632171131</v>
          </cell>
          <cell r="F147">
            <v>0.46015744081464599</v>
          </cell>
        </row>
        <row r="148">
          <cell r="A148" t="str">
            <v>2005-12</v>
          </cell>
          <cell r="B148">
            <v>0.10766844268999</v>
          </cell>
          <cell r="C148">
            <v>-5.7114659624761499</v>
          </cell>
          <cell r="D148">
            <v>4.0143372112188898</v>
          </cell>
          <cell r="E148">
            <v>6.5059741197715599</v>
          </cell>
          <cell r="F148">
            <v>0.46466261693198802</v>
          </cell>
        </row>
        <row r="149">
          <cell r="A149" t="str">
            <v>2006-01</v>
          </cell>
          <cell r="B149">
            <v>-1.9803845952171899</v>
          </cell>
          <cell r="C149">
            <v>0.61711362453442697</v>
          </cell>
          <cell r="D149">
            <v>7.3530961825261496</v>
          </cell>
          <cell r="E149">
            <v>6.6606270468668498</v>
          </cell>
          <cell r="F149">
            <v>0.52827719250681004</v>
          </cell>
        </row>
        <row r="150">
          <cell r="A150" t="str">
            <v>2006-02</v>
          </cell>
          <cell r="B150">
            <v>-3.09105083688703</v>
          </cell>
          <cell r="C150">
            <v>-1.21794238953347</v>
          </cell>
          <cell r="D150">
            <v>-0.95263787899360097</v>
          </cell>
          <cell r="E150">
            <v>2.5645133873938102</v>
          </cell>
          <cell r="F150">
            <v>0.49300557897256098</v>
          </cell>
        </row>
        <row r="151">
          <cell r="A151" t="str">
            <v>2006-03</v>
          </cell>
          <cell r="B151">
            <v>-1.04003786514886</v>
          </cell>
          <cell r="C151">
            <v>-5.0368450019036004</v>
          </cell>
          <cell r="D151">
            <v>9.0010893989708194</v>
          </cell>
          <cell r="E151">
            <v>10.4690570095421</v>
          </cell>
          <cell r="F151">
            <v>0.544094662828432</v>
          </cell>
        </row>
        <row r="152">
          <cell r="A152" t="str">
            <v>2006-04</v>
          </cell>
          <cell r="B152">
            <v>2.7602226773577998</v>
          </cell>
          <cell r="C152">
            <v>6.0721381907082899</v>
          </cell>
          <cell r="D152">
            <v>-1.14059054350399</v>
          </cell>
          <cell r="E152">
            <v>7.71201402113015</v>
          </cell>
          <cell r="F152">
            <v>0.43890102582351298</v>
          </cell>
        </row>
        <row r="153">
          <cell r="A153" t="str">
            <v>2006-05</v>
          </cell>
          <cell r="B153">
            <v>5.8801806050367196</v>
          </cell>
          <cell r="C153">
            <v>4.0125237889948604</v>
          </cell>
          <cell r="D153">
            <v>-1.0693993654645499</v>
          </cell>
          <cell r="E153">
            <v>-14.770863915430899</v>
          </cell>
          <cell r="F153">
            <v>0.48193305205122</v>
          </cell>
        </row>
        <row r="154">
          <cell r="A154" t="str">
            <v>2006-06</v>
          </cell>
          <cell r="B154">
            <v>-12.9750782205615</v>
          </cell>
          <cell r="C154">
            <v>-3.7866368896338001</v>
          </cell>
          <cell r="D154">
            <v>5.3248353863907498</v>
          </cell>
          <cell r="E154">
            <v>-3.9579862028751198</v>
          </cell>
          <cell r="F154">
            <v>0.47945841501750902</v>
          </cell>
        </row>
        <row r="155">
          <cell r="A155" t="str">
            <v>2006-07</v>
          </cell>
          <cell r="B155">
            <v>-1.99233860456137</v>
          </cell>
          <cell r="C155">
            <v>-0.26278100822800798</v>
          </cell>
          <cell r="D155">
            <v>5.8685445798957403</v>
          </cell>
          <cell r="E155">
            <v>-1.62151389185259</v>
          </cell>
          <cell r="F155">
            <v>0.52825450186275702</v>
          </cell>
        </row>
        <row r="156">
          <cell r="A156" t="str">
            <v>2006-08</v>
          </cell>
          <cell r="B156">
            <v>1.2253489513269999</v>
          </cell>
          <cell r="C156">
            <v>3.4739814386127699</v>
          </cell>
          <cell r="D156">
            <v>-0.41703108569129999</v>
          </cell>
          <cell r="E156">
            <v>8.2521164170811705</v>
          </cell>
          <cell r="F156">
            <v>0.52804031364683801</v>
          </cell>
        </row>
        <row r="157">
          <cell r="A157" t="str">
            <v>2006-09</v>
          </cell>
          <cell r="B157">
            <v>0.49823377019431198</v>
          </cell>
          <cell r="C157">
            <v>0.260376405583362</v>
          </cell>
          <cell r="D157">
            <v>3.8727274326385599</v>
          </cell>
          <cell r="E157">
            <v>4.6887690826842698</v>
          </cell>
          <cell r="F157">
            <v>0.49936790445801499</v>
          </cell>
        </row>
        <row r="158">
          <cell r="A158" t="str">
            <v>2006-10</v>
          </cell>
          <cell r="B158">
            <v>1.37927455274212</v>
          </cell>
          <cell r="C158">
            <v>-1.6276278625265299</v>
          </cell>
          <cell r="D158">
            <v>4.83625061023558</v>
          </cell>
          <cell r="E158">
            <v>4.2124527569763703</v>
          </cell>
          <cell r="F158">
            <v>0.56320266834910504</v>
          </cell>
        </row>
        <row r="159">
          <cell r="A159" t="str">
            <v>2006-11</v>
          </cell>
          <cell r="B159">
            <v>2.0364877253364898E-2</v>
          </cell>
          <cell r="C159">
            <v>-0.98750171028763001</v>
          </cell>
          <cell r="D159">
            <v>5.9975766995802102</v>
          </cell>
          <cell r="E159">
            <v>4.2537475180795896</v>
          </cell>
          <cell r="F159">
            <v>0.52991349718214398</v>
          </cell>
        </row>
        <row r="160">
          <cell r="A160" t="str">
            <v>2006-12</v>
          </cell>
          <cell r="B160">
            <v>2.7607327628814899</v>
          </cell>
          <cell r="C160">
            <v>6.8209600243980697</v>
          </cell>
          <cell r="D160">
            <v>3.0852670292344802</v>
          </cell>
          <cell r="E160">
            <v>0.83534513719183401</v>
          </cell>
          <cell r="F160">
            <v>0.53080058506189698</v>
          </cell>
        </row>
        <row r="161">
          <cell r="A161" t="str">
            <v>2007-01</v>
          </cell>
          <cell r="B161">
            <v>2.0451393494821599</v>
          </cell>
          <cell r="C161">
            <v>6.83670966257659</v>
          </cell>
          <cell r="D161">
            <v>3.3417733615004303E-2</v>
          </cell>
          <cell r="E161">
            <v>3.06386238660092</v>
          </cell>
          <cell r="F161">
            <v>0.62925633159327499</v>
          </cell>
        </row>
        <row r="162">
          <cell r="A162" t="str">
            <v>2007-02</v>
          </cell>
          <cell r="B162">
            <v>-3.0958877256651398</v>
          </cell>
          <cell r="C162">
            <v>-3.43273665820564</v>
          </cell>
          <cell r="D162">
            <v>2.3571378572281798</v>
          </cell>
          <cell r="E162">
            <v>-8.4363663413391698</v>
          </cell>
          <cell r="F162">
            <v>0.57048541758939497</v>
          </cell>
        </row>
        <row r="163">
          <cell r="A163" t="str">
            <v>2007-03</v>
          </cell>
          <cell r="B163">
            <v>-6.1356169527358704</v>
          </cell>
          <cell r="C163">
            <v>0.51199351714310604</v>
          </cell>
          <cell r="D163">
            <v>1.96305774518608</v>
          </cell>
          <cell r="E163">
            <v>0.35419737441211302</v>
          </cell>
          <cell r="F163">
            <v>0.60497678260811305</v>
          </cell>
        </row>
        <row r="164">
          <cell r="A164" t="str">
            <v>2007-04</v>
          </cell>
          <cell r="B164">
            <v>-0.87491757532606196</v>
          </cell>
          <cell r="C164">
            <v>-0.72979052396458</v>
          </cell>
          <cell r="D164">
            <v>-0.66215440934515002</v>
          </cell>
          <cell r="E164">
            <v>6.8345816622398896</v>
          </cell>
          <cell r="F164">
            <v>0.62632845278953697</v>
          </cell>
        </row>
        <row r="165">
          <cell r="A165" t="str">
            <v>2007-05</v>
          </cell>
          <cell r="B165">
            <v>0.64747048226230197</v>
          </cell>
          <cell r="C165">
            <v>-2.8509279160566101</v>
          </cell>
          <cell r="D165">
            <v>2.2419293206203701</v>
          </cell>
          <cell r="E165">
            <v>4.1244389350790804</v>
          </cell>
          <cell r="F165">
            <v>0.62484742958908202</v>
          </cell>
        </row>
        <row r="166">
          <cell r="A166" t="str">
            <v>2007-06</v>
          </cell>
          <cell r="B166">
            <v>4.3669218424397203</v>
          </cell>
          <cell r="C166">
            <v>1.75024848251029</v>
          </cell>
          <cell r="D166">
            <v>2.1325204493855199</v>
          </cell>
          <cell r="E166">
            <v>0.45238775260876302</v>
          </cell>
          <cell r="F166">
            <v>0.57029970052178103</v>
          </cell>
        </row>
        <row r="167">
          <cell r="A167" t="str">
            <v>2007-07</v>
          </cell>
          <cell r="B167">
            <v>-2.5150435361245602</v>
          </cell>
          <cell r="C167">
            <v>1.99187600781163</v>
          </cell>
          <cell r="D167">
            <v>2.9174063745784</v>
          </cell>
          <cell r="E167">
            <v>4.6164276619991202</v>
          </cell>
          <cell r="F167">
            <v>0.47322174721466898</v>
          </cell>
        </row>
        <row r="168">
          <cell r="A168" t="str">
            <v>2007-08</v>
          </cell>
          <cell r="B168">
            <v>-1.9941804021746901</v>
          </cell>
          <cell r="C168">
            <v>16.7248127462891</v>
          </cell>
          <cell r="D168">
            <v>2.44935254269758</v>
          </cell>
          <cell r="E168">
            <v>-1.04629067251255</v>
          </cell>
          <cell r="F168">
            <v>0.537405945689717</v>
          </cell>
        </row>
        <row r="169">
          <cell r="A169" t="str">
            <v>2007-09</v>
          </cell>
          <cell r="B169">
            <v>-4.7254765343284699</v>
          </cell>
          <cell r="C169">
            <v>7.4896146705282902</v>
          </cell>
          <cell r="D169">
            <v>-0.14719851858861999</v>
          </cell>
          <cell r="E169">
            <v>11.4689544314957</v>
          </cell>
          <cell r="F169">
            <v>0.52463449856603495</v>
          </cell>
        </row>
        <row r="170">
          <cell r="A170" t="str">
            <v>2007-10</v>
          </cell>
          <cell r="B170">
            <v>-10.1302853434157</v>
          </cell>
          <cell r="C170">
            <v>-6.27303541432227</v>
          </cell>
          <cell r="D170">
            <v>20.7968852088106</v>
          </cell>
          <cell r="E170">
            <v>18.2490108686833</v>
          </cell>
          <cell r="F170">
            <v>0.62038613995105696</v>
          </cell>
        </row>
        <row r="171">
          <cell r="A171" t="str">
            <v>2007-11</v>
          </cell>
          <cell r="B171">
            <v>6.5445138739259203</v>
          </cell>
          <cell r="C171">
            <v>9.8881002335910608</v>
          </cell>
          <cell r="D171">
            <v>1.44238726071066</v>
          </cell>
          <cell r="E171">
            <v>-1.1196144129124499</v>
          </cell>
          <cell r="F171">
            <v>0.58845571878947101</v>
          </cell>
        </row>
        <row r="172">
          <cell r="A172" t="str">
            <v>2007-12</v>
          </cell>
          <cell r="B172">
            <v>12.586501090992799</v>
          </cell>
          <cell r="C172">
            <v>10.7341531646998</v>
          </cell>
          <cell r="D172">
            <v>-3.0369422522702001</v>
          </cell>
          <cell r="E172">
            <v>11.5588960992197</v>
          </cell>
          <cell r="F172">
            <v>0.61077105674762799</v>
          </cell>
        </row>
        <row r="173">
          <cell r="A173" t="str">
            <v>2008-01</v>
          </cell>
          <cell r="B173">
            <v>-2.7068029379811702</v>
          </cell>
          <cell r="C173">
            <v>-10.7457417316462</v>
          </cell>
          <cell r="D173">
            <v>-4.3594499737913504</v>
          </cell>
          <cell r="E173">
            <v>-21.674226926470102</v>
          </cell>
          <cell r="F173">
            <v>0.58450741522619898</v>
          </cell>
        </row>
        <row r="174">
          <cell r="A174" t="str">
            <v>2008-02</v>
          </cell>
          <cell r="B174">
            <v>-10.033102990292999</v>
          </cell>
          <cell r="C174">
            <v>7.1788347797516101</v>
          </cell>
          <cell r="D174">
            <v>-2.2106256851229</v>
          </cell>
          <cell r="E174">
            <v>0.58803376665086404</v>
          </cell>
          <cell r="F174">
            <v>0.56134465672776901</v>
          </cell>
        </row>
        <row r="175">
          <cell r="A175" t="str">
            <v>2008-03</v>
          </cell>
          <cell r="B175">
            <v>-8.3507878041272701</v>
          </cell>
          <cell r="C175">
            <v>-1.19675800144952</v>
          </cell>
          <cell r="D175">
            <v>-5.8159899473458498</v>
          </cell>
          <cell r="E175">
            <v>-11.4587755177975</v>
          </cell>
          <cell r="F175">
            <v>0.605328155672469</v>
          </cell>
        </row>
        <row r="176">
          <cell r="A176" t="str">
            <v>2008-04</v>
          </cell>
          <cell r="B176">
            <v>2.9168541957627099</v>
          </cell>
          <cell r="C176">
            <v>2.9298753175651902</v>
          </cell>
          <cell r="D176">
            <v>-3.8783347839074702</v>
          </cell>
          <cell r="E176">
            <v>10.461297873614001</v>
          </cell>
          <cell r="F176">
            <v>0.57703340090087296</v>
          </cell>
        </row>
        <row r="177">
          <cell r="A177" t="str">
            <v>2008-05</v>
          </cell>
          <cell r="B177">
            <v>-4.6988726763809003</v>
          </cell>
          <cell r="C177">
            <v>9.7921335145718196</v>
          </cell>
          <cell r="D177">
            <v>-1.5132677475762599</v>
          </cell>
          <cell r="E177">
            <v>-5.9951042107216903</v>
          </cell>
          <cell r="F177">
            <v>0.58717520125846101</v>
          </cell>
        </row>
        <row r="178">
          <cell r="A178" t="str">
            <v>2008-06</v>
          </cell>
          <cell r="B178">
            <v>-0.89759857435422996</v>
          </cell>
          <cell r="C178">
            <v>4.5910811990061502</v>
          </cell>
          <cell r="D178">
            <v>-1.6642297966805399</v>
          </cell>
          <cell r="E178">
            <v>-18.844220823802601</v>
          </cell>
          <cell r="F178">
            <v>0.64229784225966502</v>
          </cell>
        </row>
        <row r="179">
          <cell r="A179" t="str">
            <v>2008-07</v>
          </cell>
          <cell r="B179">
            <v>0.35694843190030601</v>
          </cell>
          <cell r="C179">
            <v>-2.68349838863878</v>
          </cell>
          <cell r="D179">
            <v>2.0367083222504898</v>
          </cell>
          <cell r="E179">
            <v>5.9382808005852699</v>
          </cell>
          <cell r="F179">
            <v>0.73216309197052798</v>
          </cell>
        </row>
        <row r="180">
          <cell r="A180" t="str">
            <v>2008-08</v>
          </cell>
          <cell r="B180">
            <v>0.59051314982903103</v>
          </cell>
          <cell r="C180">
            <v>-1.0282292411624401</v>
          </cell>
          <cell r="D180">
            <v>-2.28870718084938</v>
          </cell>
          <cell r="E180">
            <v>-0.383957976276394</v>
          </cell>
          <cell r="F180">
            <v>0.70222987754686705</v>
          </cell>
        </row>
        <row r="181">
          <cell r="A181" t="str">
            <v>2008-09</v>
          </cell>
          <cell r="B181">
            <v>-5.8734732320437804</v>
          </cell>
          <cell r="C181">
            <v>0.27064837032038103</v>
          </cell>
          <cell r="D181">
            <v>5.1345310155111097</v>
          </cell>
          <cell r="E181">
            <v>-14.345306326022101</v>
          </cell>
          <cell r="F181">
            <v>0.74260941417332305</v>
          </cell>
        </row>
        <row r="182">
          <cell r="A182" t="str">
            <v>2008-10</v>
          </cell>
          <cell r="B182">
            <v>-6.9440410553511196</v>
          </cell>
          <cell r="C182">
            <v>0.57724519758544102</v>
          </cell>
          <cell r="D182">
            <v>17.67235353985</v>
          </cell>
          <cell r="E182">
            <v>-29.063653669556601</v>
          </cell>
          <cell r="F182">
            <v>0.67812733346077603</v>
          </cell>
        </row>
        <row r="183">
          <cell r="A183" t="str">
            <v>2008-11</v>
          </cell>
          <cell r="B183">
            <v>-9.3507575305094495</v>
          </cell>
          <cell r="C183">
            <v>1.2117623570724101</v>
          </cell>
          <cell r="D183">
            <v>12.1726197762154</v>
          </cell>
          <cell r="E183">
            <v>-6.3770379313245602</v>
          </cell>
          <cell r="F183">
            <v>0.54608217663742997</v>
          </cell>
        </row>
        <row r="184">
          <cell r="A184" t="str">
            <v>2008-12</v>
          </cell>
          <cell r="B184">
            <v>0.308685242803453</v>
          </cell>
          <cell r="C184">
            <v>-1.5987920031068299</v>
          </cell>
          <cell r="D184">
            <v>-20.314190711308701</v>
          </cell>
          <cell r="E184">
            <v>8.6439484253630496</v>
          </cell>
          <cell r="F184">
            <v>0.52508455034605594</v>
          </cell>
        </row>
        <row r="185">
          <cell r="A185" t="str">
            <v>2009-01</v>
          </cell>
          <cell r="B185">
            <v>-7.8795657194249999</v>
          </cell>
          <cell r="C185">
            <v>2.61847902552315</v>
          </cell>
          <cell r="D185">
            <v>11.555452352100399</v>
          </cell>
          <cell r="E185">
            <v>-3.3120075624028402</v>
          </cell>
          <cell r="F185">
            <v>0.37659151526496798</v>
          </cell>
        </row>
        <row r="186">
          <cell r="A186" t="str">
            <v>2009-02</v>
          </cell>
          <cell r="B186">
            <v>-2.23238472039171</v>
          </cell>
          <cell r="C186">
            <v>-0.496258322141718</v>
          </cell>
          <cell r="D186">
            <v>6.4632485327657001</v>
          </cell>
          <cell r="E186">
            <v>-3.1031262383373099</v>
          </cell>
          <cell r="F186">
            <v>0.35928422464881499</v>
          </cell>
        </row>
        <row r="187">
          <cell r="A187" t="str">
            <v>2009-03</v>
          </cell>
          <cell r="B187">
            <v>-2.5683935243744198</v>
          </cell>
          <cell r="C187">
            <v>-4.1125485387374399</v>
          </cell>
          <cell r="D187">
            <v>-6.4161994659562298</v>
          </cell>
          <cell r="E187">
            <v>8.0992433022596799</v>
          </cell>
          <cell r="F187">
            <v>0.40790744753194103</v>
          </cell>
        </row>
        <row r="188">
          <cell r="A188" t="str">
            <v>2009-04</v>
          </cell>
          <cell r="B188">
            <v>4.1109363157939596</v>
          </cell>
          <cell r="C188">
            <v>4.5741769383390398</v>
          </cell>
          <cell r="D188">
            <v>-18.327330411091101</v>
          </cell>
          <cell r="E188">
            <v>14.666948222791801</v>
          </cell>
          <cell r="F188">
            <v>0.31642960215032501</v>
          </cell>
        </row>
        <row r="189">
          <cell r="A189" t="str">
            <v>2009-05</v>
          </cell>
          <cell r="B189">
            <v>11.9788530323823</v>
          </cell>
          <cell r="C189">
            <v>5.2667202537704201</v>
          </cell>
          <cell r="D189">
            <v>-25.0038756828543</v>
          </cell>
          <cell r="E189">
            <v>33.552829119642297</v>
          </cell>
          <cell r="F189">
            <v>0.263766237073426</v>
          </cell>
        </row>
        <row r="190">
          <cell r="A190" t="str">
            <v>2009-06</v>
          </cell>
          <cell r="B190">
            <v>1.0367143770373799</v>
          </cell>
          <cell r="C190">
            <v>-5.0523316631120299</v>
          </cell>
          <cell r="D190">
            <v>-4.2970346576210199</v>
          </cell>
          <cell r="E190">
            <v>-3.6581932408279401</v>
          </cell>
          <cell r="F190">
            <v>0.28850831869284799</v>
          </cell>
        </row>
        <row r="191">
          <cell r="A191" t="str">
            <v>2009-07</v>
          </cell>
          <cell r="B191">
            <v>0.437718644402874</v>
          </cell>
          <cell r="C191">
            <v>-1.5479067888435001</v>
          </cell>
          <cell r="D191">
            <v>0.30653772264324097</v>
          </cell>
          <cell r="E191">
            <v>8.9645285683460401</v>
          </cell>
          <cell r="F191">
            <v>0.27022876921787298</v>
          </cell>
        </row>
        <row r="192">
          <cell r="A192" t="str">
            <v>2009-08</v>
          </cell>
          <cell r="B192">
            <v>8.6014736545564094</v>
          </cell>
          <cell r="C192">
            <v>7.5773260842346701</v>
          </cell>
          <cell r="D192">
            <v>-8.5269217104412398</v>
          </cell>
          <cell r="E192">
            <v>3.3596276886908898</v>
          </cell>
          <cell r="F192">
            <v>0.27760016213302902</v>
          </cell>
        </row>
        <row r="193">
          <cell r="A193" t="str">
            <v>2009-09</v>
          </cell>
          <cell r="B193">
            <v>-1.2450156595429001</v>
          </cell>
          <cell r="C193">
            <v>1.5694187657105101</v>
          </cell>
          <cell r="D193">
            <v>0.50515250113005705</v>
          </cell>
          <cell r="E193">
            <v>6.5127765693193496</v>
          </cell>
          <cell r="F193">
            <v>0.27482046677884697</v>
          </cell>
        </row>
        <row r="194">
          <cell r="A194" t="str">
            <v>2009-10</v>
          </cell>
          <cell r="B194">
            <v>5.8149341108151296</v>
          </cell>
          <cell r="C194">
            <v>-3.2230676617740301</v>
          </cell>
          <cell r="D194">
            <v>8.7226362991197099</v>
          </cell>
          <cell r="E194">
            <v>-7.0211164531046002</v>
          </cell>
          <cell r="F194">
            <v>0.26008502125780503</v>
          </cell>
        </row>
        <row r="195">
          <cell r="A195" t="str">
            <v>2009-11</v>
          </cell>
          <cell r="B195">
            <v>-2.0087917082276299</v>
          </cell>
          <cell r="C195">
            <v>2.4372578035119798</v>
          </cell>
          <cell r="D195">
            <v>7.1746912799950602</v>
          </cell>
          <cell r="E195">
            <v>7.02465771623124</v>
          </cell>
          <cell r="F195">
            <v>0.27326375194041103</v>
          </cell>
        </row>
        <row r="196">
          <cell r="A196" t="str">
            <v>2009-12</v>
          </cell>
          <cell r="B196">
            <v>3.5830407229180001</v>
          </cell>
          <cell r="C196">
            <v>3.5260186822790902</v>
          </cell>
          <cell r="D196">
            <v>-0.68189279472669095</v>
          </cell>
          <cell r="E196">
            <v>5.3113042410894096</v>
          </cell>
          <cell r="F196">
            <v>0.29383815534265201</v>
          </cell>
        </row>
        <row r="197">
          <cell r="A197" t="str">
            <v>2010-01</v>
          </cell>
          <cell r="B197">
            <v>4.7804922506555299</v>
          </cell>
          <cell r="C197">
            <v>-2.3098173004716198</v>
          </cell>
          <cell r="D197">
            <v>-0.20730851527198699</v>
          </cell>
          <cell r="E197">
            <v>-3.2521470067853402</v>
          </cell>
          <cell r="F197">
            <v>0.28972525251522702</v>
          </cell>
        </row>
        <row r="198">
          <cell r="A198" t="str">
            <v>2010-02</v>
          </cell>
          <cell r="B198">
            <v>-0.93095448980865503</v>
          </cell>
          <cell r="C198">
            <v>-1.3719549319568499E-2</v>
          </cell>
          <cell r="D198">
            <v>1.1092685137013401</v>
          </cell>
          <cell r="E198">
            <v>-1.5714488459523499</v>
          </cell>
          <cell r="F198">
            <v>0.30751618360063099</v>
          </cell>
        </row>
        <row r="199">
          <cell r="A199" t="str">
            <v>2010-03</v>
          </cell>
          <cell r="B199">
            <v>0.152924799588883</v>
          </cell>
          <cell r="C199">
            <v>0.96006491188560505</v>
          </cell>
          <cell r="D199">
            <v>2.7083694246132999</v>
          </cell>
          <cell r="E199">
            <v>3.92568065896717</v>
          </cell>
          <cell r="F199">
            <v>0.38161723676346498</v>
          </cell>
        </row>
        <row r="200">
          <cell r="A200" t="str">
            <v>2010-04</v>
          </cell>
          <cell r="B200">
            <v>6.2509195918057703</v>
          </cell>
          <cell r="C200">
            <v>3.3228540716289801</v>
          </cell>
          <cell r="D200">
            <v>1.5260934715625201</v>
          </cell>
          <cell r="E200">
            <v>0.58112498951483604</v>
          </cell>
          <cell r="F200">
            <v>0.33850932624457403</v>
          </cell>
        </row>
        <row r="201">
          <cell r="A201" t="str">
            <v>2010-05</v>
          </cell>
          <cell r="B201">
            <v>1.1482848642157899</v>
          </cell>
          <cell r="C201">
            <v>-5.1584145117010696</v>
          </cell>
          <cell r="D201">
            <v>-3.4118696268992103E-2</v>
          </cell>
          <cell r="E201">
            <v>-4.52783382320602</v>
          </cell>
          <cell r="F201">
            <v>0.35675083151773801</v>
          </cell>
        </row>
        <row r="202">
          <cell r="A202" t="str">
            <v>2010-06</v>
          </cell>
          <cell r="B202">
            <v>1.06609239833908</v>
          </cell>
          <cell r="C202">
            <v>-3.2467107214214899</v>
          </cell>
          <cell r="D202">
            <v>-8.5180063023237995E-2</v>
          </cell>
          <cell r="E202">
            <v>4.68304976094909</v>
          </cell>
          <cell r="F202">
            <v>0.42233968494378399</v>
          </cell>
        </row>
        <row r="203">
          <cell r="A203" t="str">
            <v>2010-07</v>
          </cell>
          <cell r="B203">
            <v>1.5460204661813099</v>
          </cell>
          <cell r="C203">
            <v>1.29390138727588</v>
          </cell>
          <cell r="D203">
            <v>4.4677627002934797</v>
          </cell>
          <cell r="E203">
            <v>0.68374992923756495</v>
          </cell>
          <cell r="F203">
            <v>0.437148585326397</v>
          </cell>
        </row>
        <row r="204">
          <cell r="A204" t="str">
            <v>2010-08</v>
          </cell>
          <cell r="B204">
            <v>0.63698107133269799</v>
          </cell>
          <cell r="C204">
            <v>1.2638798443458401</v>
          </cell>
          <cell r="D204">
            <v>4.9881658718025097</v>
          </cell>
          <cell r="E204">
            <v>1.16704985853033E-4</v>
          </cell>
          <cell r="F204">
            <v>0.51755334913323703</v>
          </cell>
        </row>
        <row r="205">
          <cell r="A205" t="str">
            <v>2010-09</v>
          </cell>
          <cell r="B205">
            <v>-1.5857855275477699</v>
          </cell>
          <cell r="C205">
            <v>2.91559095498926</v>
          </cell>
          <cell r="D205">
            <v>-1.2168709866771099</v>
          </cell>
          <cell r="E205">
            <v>7.6294544810397502</v>
          </cell>
          <cell r="F205">
            <v>0.48847597918200097</v>
          </cell>
        </row>
        <row r="206">
          <cell r="A206" t="str">
            <v>2010-10</v>
          </cell>
          <cell r="B206">
            <v>2.7428646449165099</v>
          </cell>
          <cell r="C206">
            <v>5.8318642678852699</v>
          </cell>
          <cell r="D206">
            <v>3.0004080078227702</v>
          </cell>
          <cell r="E206">
            <v>-0.24572595946856801</v>
          </cell>
          <cell r="F206">
            <v>0.50225167340365295</v>
          </cell>
        </row>
        <row r="207">
          <cell r="A207" t="str">
            <v>2010-11</v>
          </cell>
          <cell r="B207">
            <v>-1.25020146161652</v>
          </cell>
          <cell r="C207">
            <v>-4.3382276901203598</v>
          </cell>
          <cell r="D207">
            <v>7.0224078224629096</v>
          </cell>
          <cell r="E207">
            <v>-5.6354655147202202</v>
          </cell>
          <cell r="F207">
            <v>0.57999937243455901</v>
          </cell>
        </row>
        <row r="208">
          <cell r="A208" t="str">
            <v>2010-12</v>
          </cell>
          <cell r="B208">
            <v>-2.85045391297517</v>
          </cell>
          <cell r="C208">
            <v>1.3406542463676201</v>
          </cell>
          <cell r="D208">
            <v>-4.9689695927139299</v>
          </cell>
          <cell r="E208">
            <v>3.0346332438883499</v>
          </cell>
          <cell r="F208">
            <v>0.58514897278312294</v>
          </cell>
        </row>
        <row r="209">
          <cell r="A209" t="str">
            <v>2011-01</v>
          </cell>
          <cell r="B209">
            <v>-2.9282310885771201</v>
          </cell>
          <cell r="C209">
            <v>-3.1208025220681002</v>
          </cell>
          <cell r="D209">
            <v>5.0158635165003398</v>
          </cell>
          <cell r="E209">
            <v>-10.0928807670917</v>
          </cell>
          <cell r="F209">
            <v>0.58889037655809295</v>
          </cell>
        </row>
        <row r="210">
          <cell r="A210" t="str">
            <v>2011-02</v>
          </cell>
          <cell r="B210">
            <v>-1.4373469505810399</v>
          </cell>
          <cell r="C210">
            <v>-1.7909889052352399</v>
          </cell>
          <cell r="D210">
            <v>3.03096195308752</v>
          </cell>
          <cell r="E210">
            <v>-5.24714721273976</v>
          </cell>
          <cell r="F210">
            <v>0.53178932240223198</v>
          </cell>
        </row>
        <row r="211">
          <cell r="A211" t="str">
            <v>2011-03</v>
          </cell>
          <cell r="B211">
            <v>-1.52608117178423</v>
          </cell>
          <cell r="C211">
            <v>-2.0425609854021198</v>
          </cell>
          <cell r="D211">
            <v>-5.9117603989133898E-2</v>
          </cell>
          <cell r="E211">
            <v>7.0234060748289</v>
          </cell>
          <cell r="F211">
            <v>0.59188117450634803</v>
          </cell>
        </row>
        <row r="212">
          <cell r="A212" t="str">
            <v>2011-04</v>
          </cell>
          <cell r="B212">
            <v>4.6935109609200598</v>
          </cell>
          <cell r="C212">
            <v>4.0530377405374702</v>
          </cell>
          <cell r="D212">
            <v>-2.1927329790379702</v>
          </cell>
          <cell r="E212">
            <v>0.40905386307348302</v>
          </cell>
          <cell r="F212">
            <v>0.55995831086039805</v>
          </cell>
        </row>
        <row r="213">
          <cell r="A213" t="str">
            <v>2011-05</v>
          </cell>
          <cell r="B213">
            <v>-1.5990766337187201</v>
          </cell>
          <cell r="C213">
            <v>-0.491158889604348</v>
          </cell>
          <cell r="D213">
            <v>5.3418179982042799</v>
          </cell>
          <cell r="E213">
            <v>-2.9028648401646802</v>
          </cell>
          <cell r="F213">
            <v>0.67199226857959105</v>
          </cell>
        </row>
        <row r="214">
          <cell r="A214" t="str">
            <v>2011-06</v>
          </cell>
          <cell r="B214">
            <v>0.56390426401393701</v>
          </cell>
          <cell r="C214">
            <v>-4.2976866047728102</v>
          </cell>
          <cell r="D214">
            <v>5.0369867948135898</v>
          </cell>
          <cell r="E214">
            <v>-0.41206642588097497</v>
          </cell>
          <cell r="F214">
            <v>0.65034714564275997</v>
          </cell>
        </row>
        <row r="215">
          <cell r="A215" t="str">
            <v>2011-07</v>
          </cell>
          <cell r="B215">
            <v>5.5737267422035597</v>
          </cell>
          <cell r="C215">
            <v>-1.7794312976701101</v>
          </cell>
          <cell r="D215">
            <v>3.7984806063348802</v>
          </cell>
          <cell r="E215">
            <v>-2.4000048567255501</v>
          </cell>
          <cell r="F215">
            <v>0.62494547320057803</v>
          </cell>
        </row>
        <row r="216">
          <cell r="A216" t="str">
            <v>2011-08</v>
          </cell>
          <cell r="B216">
            <v>-2.87408268294039</v>
          </cell>
          <cell r="C216">
            <v>-1.77638464394053</v>
          </cell>
          <cell r="D216">
            <v>11.562081185236901</v>
          </cell>
          <cell r="E216">
            <v>-8.23593641100544</v>
          </cell>
          <cell r="F216">
            <v>0.70605800465590696</v>
          </cell>
        </row>
        <row r="217">
          <cell r="A217" t="str">
            <v>2011-09</v>
          </cell>
          <cell r="B217">
            <v>0.63181377366177105</v>
          </cell>
          <cell r="C217">
            <v>-0.49965215267421298</v>
          </cell>
          <cell r="D217">
            <v>-1.6098355592373199</v>
          </cell>
          <cell r="E217">
            <v>-1.5885131142544999</v>
          </cell>
          <cell r="F217">
            <v>0.68713128854715999</v>
          </cell>
        </row>
        <row r="218">
          <cell r="A218" t="str">
            <v>2011-10</v>
          </cell>
          <cell r="B218">
            <v>-2.6231182165706302</v>
          </cell>
          <cell r="C218">
            <v>0.63136059478199302</v>
          </cell>
          <cell r="D218">
            <v>-0.56658012673793701</v>
          </cell>
          <cell r="E218">
            <v>4.0289724529968503</v>
          </cell>
          <cell r="F218">
            <v>0.69637706269623001</v>
          </cell>
        </row>
        <row r="219">
          <cell r="A219" t="str">
            <v>2011-11</v>
          </cell>
          <cell r="B219">
            <v>-1.83517909571063</v>
          </cell>
          <cell r="C219">
            <v>-3.1255697524526398</v>
          </cell>
          <cell r="D219">
            <v>7.9960563915702201</v>
          </cell>
          <cell r="E219">
            <v>-9.6567764595580599</v>
          </cell>
          <cell r="F219">
            <v>0.69475957640874297</v>
          </cell>
        </row>
        <row r="220">
          <cell r="A220" t="str">
            <v>2011-12</v>
          </cell>
          <cell r="B220">
            <v>-3.1436546764048301</v>
          </cell>
          <cell r="C220">
            <v>-0.45639694668107</v>
          </cell>
          <cell r="D220">
            <v>6.2542049362539496</v>
          </cell>
          <cell r="E220">
            <v>-5.9578032632778699</v>
          </cell>
          <cell r="F220">
            <v>0.6782982518724</v>
          </cell>
        </row>
        <row r="221">
          <cell r="A221" t="str">
            <v>2012-01</v>
          </cell>
          <cell r="B221">
            <v>-2.5424492910685799</v>
          </cell>
          <cell r="C221">
            <v>14.083058894739301</v>
          </cell>
          <cell r="D221">
            <v>-17.952147572010698</v>
          </cell>
          <cell r="E221">
            <v>10.766901272654</v>
          </cell>
          <cell r="F221">
            <v>0.72391802186280196</v>
          </cell>
        </row>
        <row r="222">
          <cell r="A222" t="str">
            <v>2012-02</v>
          </cell>
          <cell r="B222">
            <v>2.75214964218284</v>
          </cell>
          <cell r="C222">
            <v>-3.8171672419771001</v>
          </cell>
          <cell r="D222">
            <v>-1.9059743140801499</v>
          </cell>
          <cell r="E222">
            <v>4.3049259931970099</v>
          </cell>
          <cell r="F222">
            <v>0.67932942963202503</v>
          </cell>
        </row>
        <row r="223">
          <cell r="A223" t="str">
            <v>2012-03</v>
          </cell>
          <cell r="B223">
            <v>1.0836395050758201</v>
          </cell>
          <cell r="C223">
            <v>-4.4441737943506903</v>
          </cell>
          <cell r="D223">
            <v>9.3200860766781801</v>
          </cell>
          <cell r="E223">
            <v>-3.1636927056336002</v>
          </cell>
          <cell r="F223">
            <v>0.71205442508246497</v>
          </cell>
        </row>
        <row r="224">
          <cell r="A224" t="str">
            <v>2012-04</v>
          </cell>
          <cell r="B224">
            <v>3.9667336093259999</v>
          </cell>
          <cell r="C224">
            <v>-2.8465803691823601</v>
          </cell>
          <cell r="D224">
            <v>2.0315891340587902</v>
          </cell>
          <cell r="E224">
            <v>-1.5037218545718001</v>
          </cell>
          <cell r="F224">
            <v>0.71028407632274204</v>
          </cell>
        </row>
        <row r="225">
          <cell r="A225" t="str">
            <v>2012-05</v>
          </cell>
          <cell r="B225">
            <v>-0.154553371825805</v>
          </cell>
          <cell r="C225">
            <v>-3.7645481974166302</v>
          </cell>
          <cell r="D225">
            <v>7.0887953834856097</v>
          </cell>
          <cell r="E225">
            <v>-6.3201021794335697</v>
          </cell>
          <cell r="F225">
            <v>0.68798164761834102</v>
          </cell>
        </row>
        <row r="226">
          <cell r="A226" t="str">
            <v>2012-06</v>
          </cell>
          <cell r="B226">
            <v>-0.33527578961451998</v>
          </cell>
          <cell r="C226">
            <v>-1.1929869511437701</v>
          </cell>
          <cell r="D226">
            <v>-6.0130434317316404</v>
          </cell>
          <cell r="E226">
            <v>4.8550080450420001</v>
          </cell>
          <cell r="F226">
            <v>0.63366258787698204</v>
          </cell>
        </row>
        <row r="227">
          <cell r="A227" t="str">
            <v>2012-07</v>
          </cell>
          <cell r="B227">
            <v>1.92953010329977</v>
          </cell>
          <cell r="C227">
            <v>-4.1273076850908001</v>
          </cell>
          <cell r="D227">
            <v>4.9217362135988596</v>
          </cell>
          <cell r="E227">
            <v>-1.5736411857127</v>
          </cell>
          <cell r="F227">
            <v>0.69531401656492997</v>
          </cell>
        </row>
        <row r="228">
          <cell r="A228" t="str">
            <v>2012-08</v>
          </cell>
          <cell r="B228">
            <v>3.1700821026761701</v>
          </cell>
          <cell r="C228">
            <v>-5.2648825237101802</v>
          </cell>
          <cell r="D228">
            <v>11.4212129198282</v>
          </cell>
          <cell r="E228">
            <v>-0.19074054097639701</v>
          </cell>
          <cell r="F228">
            <v>0.67373400505417202</v>
          </cell>
        </row>
        <row r="229">
          <cell r="A229" t="str">
            <v>2012-09</v>
          </cell>
          <cell r="B229">
            <v>-1.7703537965151499</v>
          </cell>
          <cell r="C229">
            <v>8.0027557274186005</v>
          </cell>
          <cell r="D229">
            <v>-7.7397646920461796</v>
          </cell>
          <cell r="E229">
            <v>6.4805722322008403</v>
          </cell>
          <cell r="F229">
            <v>0.60252758226257996</v>
          </cell>
        </row>
        <row r="230">
          <cell r="A230" t="str">
            <v>2012-10</v>
          </cell>
          <cell r="B230">
            <v>4.0105593924585596</v>
          </cell>
          <cell r="C230">
            <v>-3.1174294196379</v>
          </cell>
          <cell r="D230">
            <v>2.8374853648905001</v>
          </cell>
          <cell r="E230">
            <v>-1.5377255395088301</v>
          </cell>
          <cell r="F230">
            <v>0.70625621066644495</v>
          </cell>
        </row>
        <row r="231">
          <cell r="A231" t="str">
            <v>2012-11</v>
          </cell>
          <cell r="B231">
            <v>-4.9076483167705804</v>
          </cell>
          <cell r="C231">
            <v>9.2456874405727696</v>
          </cell>
          <cell r="D231">
            <v>-3.1543616695889001</v>
          </cell>
          <cell r="E231">
            <v>2.2782317738756301</v>
          </cell>
          <cell r="F231">
            <v>0.64662315523138503</v>
          </cell>
        </row>
        <row r="232">
          <cell r="A232" t="str">
            <v>2012-12</v>
          </cell>
          <cell r="B232">
            <v>-0.82062588486888599</v>
          </cell>
          <cell r="C232">
            <v>0.75949547356912706</v>
          </cell>
          <cell r="D232">
            <v>8.0093643969880696E-2</v>
          </cell>
          <cell r="E232">
            <v>0.74161975929971602</v>
          </cell>
          <cell r="F232">
            <v>0.66926430544445004</v>
          </cell>
        </row>
        <row r="233">
          <cell r="A233" t="str">
            <v>2013-01</v>
          </cell>
          <cell r="B233">
            <v>-5.4635667923251701</v>
          </cell>
          <cell r="C233">
            <v>-3.4165982278718801</v>
          </cell>
          <cell r="D233">
            <v>2.5114599866080898</v>
          </cell>
          <cell r="E233">
            <v>1.2896510287506699</v>
          </cell>
          <cell r="F233">
            <v>0.65819547671712697</v>
          </cell>
        </row>
        <row r="234">
          <cell r="A234" t="str">
            <v>2013-02</v>
          </cell>
          <cell r="B234">
            <v>-0.649747408800327</v>
          </cell>
          <cell r="C234">
            <v>-10.6420533755718</v>
          </cell>
          <cell r="D234">
            <v>7.86032432487906</v>
          </cell>
          <cell r="E234">
            <v>-6.4323365129802097</v>
          </cell>
          <cell r="F234">
            <v>0.59050863657232899</v>
          </cell>
        </row>
        <row r="235">
          <cell r="A235" t="str">
            <v>2013-03</v>
          </cell>
          <cell r="B235">
            <v>-1.3079081216155299</v>
          </cell>
          <cell r="C235">
            <v>-5.6168901441609496</v>
          </cell>
          <cell r="D235">
            <v>4.1723174761194599</v>
          </cell>
          <cell r="E235">
            <v>-2.3976161937687599</v>
          </cell>
          <cell r="F235">
            <v>0.59774271512464905</v>
          </cell>
        </row>
        <row r="236">
          <cell r="A236" t="str">
            <v>2013-04</v>
          </cell>
          <cell r="B236">
            <v>-9.3523827467398792</v>
          </cell>
          <cell r="C236">
            <v>18.647254841291499</v>
          </cell>
          <cell r="D236">
            <v>-3.6188157992032899</v>
          </cell>
          <cell r="E236">
            <v>2.34914698891449</v>
          </cell>
          <cell r="F236">
            <v>0.68430814299689202</v>
          </cell>
        </row>
        <row r="237">
          <cell r="A237" t="str">
            <v>2013-05</v>
          </cell>
          <cell r="B237">
            <v>-3.2208454224521099</v>
          </cell>
          <cell r="C237">
            <v>-0.58473325267586196</v>
          </cell>
          <cell r="D237">
            <v>7.8795420452973097</v>
          </cell>
          <cell r="E237">
            <v>9.4026986924955498E-3</v>
          </cell>
          <cell r="F237">
            <v>0.60820634505265303</v>
          </cell>
        </row>
        <row r="238">
          <cell r="A238" t="str">
            <v>2013-06</v>
          </cell>
          <cell r="B238">
            <v>-6.7076447335690101</v>
          </cell>
          <cell r="C238">
            <v>5.4793956698251399E-2</v>
          </cell>
          <cell r="D238">
            <v>11.530971932101099</v>
          </cell>
          <cell r="E238">
            <v>-3.8355070714512101</v>
          </cell>
          <cell r="F238">
            <v>0.54917419804516598</v>
          </cell>
        </row>
        <row r="239">
          <cell r="A239" t="str">
            <v>2013-07</v>
          </cell>
          <cell r="B239">
            <v>-7.6645962700553998</v>
          </cell>
          <cell r="C239">
            <v>0.86681983491103698</v>
          </cell>
          <cell r="D239">
            <v>11.5872195220353</v>
          </cell>
          <cell r="E239">
            <v>-0.72028357008844202</v>
          </cell>
          <cell r="F239">
            <v>0.71663657642448997</v>
          </cell>
        </row>
        <row r="240">
          <cell r="A240" t="str">
            <v>2013-08</v>
          </cell>
          <cell r="B240">
            <v>0.148018931167537</v>
          </cell>
          <cell r="C240">
            <v>-4.2050884873083598</v>
          </cell>
          <cell r="D240">
            <v>-7.8648293431584202</v>
          </cell>
          <cell r="E240">
            <v>-2.8403163740886299</v>
          </cell>
          <cell r="F240">
            <v>0.87591903455919196</v>
          </cell>
        </row>
        <row r="241">
          <cell r="A241" t="str">
            <v>2013-09</v>
          </cell>
          <cell r="B241">
            <v>-4.2433608973413403E-2</v>
          </cell>
          <cell r="C241">
            <v>4.0092535905597204</v>
          </cell>
          <cell r="D241">
            <v>-7.6955757340185302</v>
          </cell>
          <cell r="E241">
            <v>3.9445107220492202</v>
          </cell>
          <cell r="F241">
            <v>0.87507450728379099</v>
          </cell>
        </row>
        <row r="242">
          <cell r="A242" t="str">
            <v>2013-10</v>
          </cell>
          <cell r="B242">
            <v>-0.70602857596886404</v>
          </cell>
          <cell r="C242">
            <v>0.38032555643299198</v>
          </cell>
          <cell r="D242">
            <v>-5.6757435394800302</v>
          </cell>
          <cell r="E242">
            <v>6.38931945952781</v>
          </cell>
          <cell r="F242">
            <v>0.73819186044115104</v>
          </cell>
        </row>
        <row r="243">
          <cell r="A243" t="str">
            <v>2013-11</v>
          </cell>
          <cell r="B243">
            <v>5.2965330141571298</v>
          </cell>
          <cell r="C243">
            <v>2.0207674444629302</v>
          </cell>
          <cell r="D243">
            <v>-3.8161226800769601</v>
          </cell>
          <cell r="E243">
            <v>-0.94045744880413296</v>
          </cell>
          <cell r="F243">
            <v>0.67104877616426295</v>
          </cell>
        </row>
        <row r="244">
          <cell r="A244" t="str">
            <v>2013-12</v>
          </cell>
          <cell r="B244">
            <v>2.8101514423985599</v>
          </cell>
          <cell r="C244">
            <v>3.90889385295459</v>
          </cell>
          <cell r="D244">
            <v>-0.46222524506552798</v>
          </cell>
          <cell r="E244">
            <v>3.2492045688084601</v>
          </cell>
          <cell r="F244">
            <v>0.73571140655777101</v>
          </cell>
        </row>
        <row r="245">
          <cell r="A245" t="str">
            <v>2014-01</v>
          </cell>
          <cell r="B245">
            <v>1.3837284282156599</v>
          </cell>
          <cell r="C245">
            <v>-7.4149657271799096</v>
          </cell>
          <cell r="D245">
            <v>3.9226663898377101</v>
          </cell>
          <cell r="E245">
            <v>-3.7670572868191901</v>
          </cell>
          <cell r="F245">
            <v>0.71284471543082695</v>
          </cell>
        </row>
        <row r="246">
          <cell r="A246" t="str">
            <v>2014-02</v>
          </cell>
          <cell r="B246">
            <v>2.7491171556235798</v>
          </cell>
          <cell r="C246">
            <v>-2.23763109340454</v>
          </cell>
          <cell r="D246">
            <v>4.7113687307753596</v>
          </cell>
          <cell r="E246">
            <v>1.6001050391195399</v>
          </cell>
          <cell r="F246">
            <v>0.66559430731794</v>
          </cell>
        </row>
        <row r="247">
          <cell r="A247" t="str">
            <v>2014-03</v>
          </cell>
          <cell r="B247">
            <v>-0.43466319621220401</v>
          </cell>
          <cell r="C247">
            <v>5.60051726065194</v>
          </cell>
          <cell r="D247">
            <v>-9.6406658824643294</v>
          </cell>
          <cell r="E247">
            <v>5.2371708987773102</v>
          </cell>
          <cell r="F247">
            <v>0.74573922927285696</v>
          </cell>
        </row>
        <row r="248">
          <cell r="A248" t="str">
            <v>2014-04</v>
          </cell>
          <cell r="B248">
            <v>5.7027611890649199</v>
          </cell>
          <cell r="C248">
            <v>7.7273588366760304</v>
          </cell>
          <cell r="D248">
            <v>-3.3262992645418299</v>
          </cell>
          <cell r="E248">
            <v>3.7547752285993503E-2</v>
          </cell>
          <cell r="F248">
            <v>0.70155325494640797</v>
          </cell>
        </row>
        <row r="249">
          <cell r="A249" t="str">
            <v>2014-05</v>
          </cell>
          <cell r="B249">
            <v>4.5257727158699401</v>
          </cell>
          <cell r="C249">
            <v>10.254464155471499</v>
          </cell>
          <cell r="D249">
            <v>-8.6654471529913994</v>
          </cell>
          <cell r="E249">
            <v>9.8302204484913798</v>
          </cell>
          <cell r="F249">
            <v>0.69380479123142302</v>
          </cell>
        </row>
        <row r="250">
          <cell r="A250" t="str">
            <v>2014-06</v>
          </cell>
          <cell r="B250">
            <v>9.8502815329413398</v>
          </cell>
          <cell r="C250">
            <v>5.3103852769626796</v>
          </cell>
          <cell r="D250">
            <v>2.6910801995793499</v>
          </cell>
          <cell r="E250">
            <v>6.8931956407408199</v>
          </cell>
          <cell r="F250">
            <v>0.69999312222854804</v>
          </cell>
        </row>
        <row r="251">
          <cell r="A251" t="str">
            <v>2014-07</v>
          </cell>
          <cell r="B251">
            <v>0.70240956902543095</v>
          </cell>
          <cell r="C251">
            <v>-9.4346613054026491</v>
          </cell>
          <cell r="D251">
            <v>-1.3759676781149</v>
          </cell>
          <cell r="E251">
            <v>-0.172287452461894</v>
          </cell>
          <cell r="F251">
            <v>0.70063263052098101</v>
          </cell>
        </row>
        <row r="252">
          <cell r="A252" t="str">
            <v>2014-08</v>
          </cell>
          <cell r="B252">
            <v>3.5658199279464902</v>
          </cell>
          <cell r="C252">
            <v>-5.2801050549071604</v>
          </cell>
          <cell r="D252">
            <v>5.4176730337559098</v>
          </cell>
          <cell r="E252">
            <v>2.54061953800562</v>
          </cell>
          <cell r="F252">
            <v>0.637589734887967</v>
          </cell>
        </row>
        <row r="253">
          <cell r="A253" t="str">
            <v>2014-09</v>
          </cell>
          <cell r="B253">
            <v>5.4054640531457698</v>
          </cell>
          <cell r="C253">
            <v>-1.4260156079168</v>
          </cell>
          <cell r="D253">
            <v>6.1772557339102603</v>
          </cell>
          <cell r="E253">
            <v>1.41997218234191</v>
          </cell>
          <cell r="F253">
            <v>0.74721838278009001</v>
          </cell>
        </row>
        <row r="254">
          <cell r="A254" t="str">
            <v>2014-10</v>
          </cell>
          <cell r="B254">
            <v>-1.633959587598</v>
          </cell>
          <cell r="C254">
            <v>1.4419498428702699</v>
          </cell>
          <cell r="D254">
            <v>2.1519005130958599</v>
          </cell>
          <cell r="E254">
            <v>1.1144477656968701</v>
          </cell>
          <cell r="F254">
            <v>0.69340264485546799</v>
          </cell>
        </row>
        <row r="255">
          <cell r="A255" t="str">
            <v>2014-11</v>
          </cell>
          <cell r="B255">
            <v>1.86098116985429</v>
          </cell>
          <cell r="C255">
            <v>-1.21248233003337</v>
          </cell>
          <cell r="D255">
            <v>5.6144422086350998</v>
          </cell>
          <cell r="E255">
            <v>1.06276283885511</v>
          </cell>
          <cell r="F255">
            <v>0.61485763748130295</v>
          </cell>
        </row>
        <row r="256">
          <cell r="A256" t="str">
            <v>2014-12</v>
          </cell>
          <cell r="B256">
            <v>4.5228207931941302</v>
          </cell>
          <cell r="C256">
            <v>-5.2767968789748299</v>
          </cell>
          <cell r="D256">
            <v>4.7978443974985696</v>
          </cell>
          <cell r="E256">
            <v>-3.0230415976858298</v>
          </cell>
          <cell r="F256">
            <v>0.72190340289561805</v>
          </cell>
        </row>
        <row r="257">
          <cell r="A257" t="str">
            <v>2015-01</v>
          </cell>
          <cell r="B257">
            <v>0.118387255177321</v>
          </cell>
          <cell r="C257">
            <v>0.92478021163473501</v>
          </cell>
          <cell r="D257">
            <v>3.4179846341275</v>
          </cell>
          <cell r="E257">
            <v>5.0090582348109303</v>
          </cell>
          <cell r="F257">
            <v>0.65821498621807495</v>
          </cell>
        </row>
        <row r="258">
          <cell r="A258" t="str">
            <v>2015-02</v>
          </cell>
          <cell r="B258">
            <v>-0.30545523292731003</v>
          </cell>
          <cell r="C258">
            <v>0.104527878159644</v>
          </cell>
          <cell r="D258">
            <v>1.0098724982154701</v>
          </cell>
          <cell r="E258">
            <v>0.52884352068063301</v>
          </cell>
          <cell r="F258">
            <v>0.63451465347998903</v>
          </cell>
        </row>
        <row r="259">
          <cell r="A259" t="str">
            <v>2015-03</v>
          </cell>
          <cell r="B259">
            <v>0.25167894696203102</v>
          </cell>
          <cell r="C259">
            <v>-5.95124749742787</v>
          </cell>
          <cell r="D259">
            <v>8.6207776626037003</v>
          </cell>
          <cell r="E259">
            <v>-2.4345683198172501</v>
          </cell>
          <cell r="F259">
            <v>0.67862470740509595</v>
          </cell>
        </row>
        <row r="260">
          <cell r="A260" t="str">
            <v>2015-04</v>
          </cell>
          <cell r="B260">
            <v>1.73748203822308</v>
          </cell>
          <cell r="C260">
            <v>2.9940170707624301</v>
          </cell>
          <cell r="D260">
            <v>-5.5309752707625899</v>
          </cell>
          <cell r="E260">
            <v>-3.6323775395309599</v>
          </cell>
          <cell r="F260">
            <v>0.63012577596088803</v>
          </cell>
        </row>
        <row r="261">
          <cell r="A261" t="str">
            <v>2015-05</v>
          </cell>
          <cell r="B261">
            <v>0.59114092585270706</v>
          </cell>
          <cell r="C261">
            <v>-4.2501433368042099</v>
          </cell>
          <cell r="D261">
            <v>3.4785487671451301</v>
          </cell>
          <cell r="E261">
            <v>3.0947508856342201</v>
          </cell>
          <cell r="F261">
            <v>0.60845516815191103</v>
          </cell>
        </row>
        <row r="262">
          <cell r="A262" t="str">
            <v>2015-06</v>
          </cell>
          <cell r="B262">
            <v>-1.7695825031308401</v>
          </cell>
          <cell r="C262">
            <v>-0.90202770359781903</v>
          </cell>
          <cell r="D262">
            <v>3.69131450224749</v>
          </cell>
          <cell r="E262">
            <v>-1.66130271838498</v>
          </cell>
          <cell r="F262">
            <v>0.65292371975684804</v>
          </cell>
        </row>
        <row r="263">
          <cell r="A263" t="str">
            <v>2015-07</v>
          </cell>
          <cell r="B263">
            <v>9.2214493707826595</v>
          </cell>
          <cell r="C263">
            <v>5.5451362062060898</v>
          </cell>
          <cell r="D263">
            <v>9.0020230024912706</v>
          </cell>
          <cell r="E263">
            <v>2.6147576253990001</v>
          </cell>
          <cell r="F263">
            <v>0.61770512036551894</v>
          </cell>
        </row>
        <row r="264">
          <cell r="A264" t="str">
            <v>2015-08</v>
          </cell>
          <cell r="B264">
            <v>0.47728694035111802</v>
          </cell>
          <cell r="C264">
            <v>-3.3052194019855499</v>
          </cell>
          <cell r="D264">
            <v>5.4346395735937598</v>
          </cell>
          <cell r="E264">
            <v>-6.1192913803995701</v>
          </cell>
          <cell r="F264">
            <v>0.60810091431042801</v>
          </cell>
        </row>
        <row r="265">
          <cell r="A265" t="str">
            <v>2015-09</v>
          </cell>
          <cell r="B265">
            <v>0.42265774549576901</v>
          </cell>
          <cell r="C265">
            <v>2.02045277896852</v>
          </cell>
          <cell r="D265">
            <v>2.1513577769390699</v>
          </cell>
          <cell r="E265">
            <v>-1.00404572479259</v>
          </cell>
          <cell r="F265">
            <v>0.59069613060389603</v>
          </cell>
        </row>
        <row r="266">
          <cell r="A266" t="str">
            <v>2015-10</v>
          </cell>
          <cell r="B266">
            <v>0.532464410555189</v>
          </cell>
          <cell r="C266">
            <v>7.7367831522953301</v>
          </cell>
          <cell r="D266">
            <v>-6.5641764984265896</v>
          </cell>
          <cell r="E266">
            <v>1.7719483908067699</v>
          </cell>
          <cell r="F266">
            <v>0.56284123796241903</v>
          </cell>
        </row>
        <row r="267">
          <cell r="A267" t="str">
            <v>2015-11</v>
          </cell>
          <cell r="B267">
            <v>7.7873864058409996</v>
          </cell>
          <cell r="C267">
            <v>0.38595151408755701</v>
          </cell>
          <cell r="D267">
            <v>1.21317121383275</v>
          </cell>
          <cell r="E267">
            <v>-1.5103353956855099</v>
          </cell>
          <cell r="F267">
            <v>0.58600825562886705</v>
          </cell>
        </row>
        <row r="268">
          <cell r="A268" t="str">
            <v>2015-12</v>
          </cell>
          <cell r="B268">
            <v>-1.3187068707059799</v>
          </cell>
          <cell r="C268">
            <v>6.2621972239100998</v>
          </cell>
          <cell r="D268">
            <v>-0.34447223187085202</v>
          </cell>
          <cell r="E268">
            <v>1.16251587899876</v>
          </cell>
          <cell r="F268">
            <v>0.59134778212905903</v>
          </cell>
        </row>
        <row r="269">
          <cell r="A269" t="str">
            <v>2016-01</v>
          </cell>
          <cell r="B269">
            <v>-1.55672432828425</v>
          </cell>
          <cell r="C269">
            <v>-5.5723890232945497</v>
          </cell>
          <cell r="D269">
            <v>1.09587423879645</v>
          </cell>
          <cell r="E269">
            <v>-6.0325281679874898</v>
          </cell>
          <cell r="F269">
            <v>0.55750708071153898</v>
          </cell>
        </row>
        <row r="270">
          <cell r="A270" t="str">
            <v>2016-02</v>
          </cell>
          <cell r="B270">
            <v>-8.8297012448963805</v>
          </cell>
          <cell r="C270">
            <v>-4.5019834618833698</v>
          </cell>
          <cell r="D270">
            <v>-3.6850963910261298</v>
          </cell>
          <cell r="E270">
            <v>-8.7605231053271293</v>
          </cell>
          <cell r="F270">
            <v>0.60340745886990899</v>
          </cell>
        </row>
        <row r="271">
          <cell r="A271" t="str">
            <v>2016-03</v>
          </cell>
          <cell r="B271">
            <v>-1.87912226316662</v>
          </cell>
          <cell r="C271">
            <v>5.7719113288255102</v>
          </cell>
          <cell r="D271">
            <v>-2.7245469839277598</v>
          </cell>
          <cell r="E271">
            <v>9.9529495096175804</v>
          </cell>
          <cell r="F271">
            <v>0.59742866195897604</v>
          </cell>
        </row>
        <row r="272">
          <cell r="A272" t="str">
            <v>2016-04</v>
          </cell>
          <cell r="B272">
            <v>2.9541878220903599</v>
          </cell>
          <cell r="C272">
            <v>5.5158782451787403</v>
          </cell>
          <cell r="D272">
            <v>-1.77392133413408</v>
          </cell>
          <cell r="E272">
            <v>1.83239905255417</v>
          </cell>
          <cell r="F272">
            <v>0.53229901774143296</v>
          </cell>
        </row>
        <row r="273">
          <cell r="A273" t="str">
            <v>2016-05</v>
          </cell>
          <cell r="B273">
            <v>1.46914160606135</v>
          </cell>
          <cell r="C273">
            <v>-3.8502109494065899</v>
          </cell>
          <cell r="D273">
            <v>-0.22105672019187</v>
          </cell>
          <cell r="E273">
            <v>0.67176708770349003</v>
          </cell>
          <cell r="F273">
            <v>0.58192519538187204</v>
          </cell>
        </row>
        <row r="274">
          <cell r="A274" t="str">
            <v>2016-06</v>
          </cell>
          <cell r="B274">
            <v>5.4214356240381596</v>
          </cell>
          <cell r="C274">
            <v>1.55164513787223</v>
          </cell>
          <cell r="D274">
            <v>-2.7207562686785098</v>
          </cell>
          <cell r="E274">
            <v>3.1868191826133199</v>
          </cell>
          <cell r="F274">
            <v>0.54189324265694305</v>
          </cell>
        </row>
        <row r="275">
          <cell r="A275" t="str">
            <v>2016-07</v>
          </cell>
          <cell r="B275">
            <v>-1.9689310490249701</v>
          </cell>
          <cell r="C275">
            <v>3.2956002550981398</v>
          </cell>
          <cell r="D275">
            <v>1.43291442459597</v>
          </cell>
          <cell r="E275">
            <v>4.1802392908288004</v>
          </cell>
          <cell r="F275">
            <v>0.50932137446002601</v>
          </cell>
        </row>
        <row r="276">
          <cell r="A276" t="str">
            <v>2016-08</v>
          </cell>
          <cell r="B276">
            <v>-0.91767779839353503</v>
          </cell>
          <cell r="C276">
            <v>-1.6778480438772101</v>
          </cell>
          <cell r="D276">
            <v>2.4634385096452802</v>
          </cell>
          <cell r="E276">
            <v>0.61066428778375803</v>
          </cell>
          <cell r="F276">
            <v>0.57600096104850596</v>
          </cell>
        </row>
        <row r="277">
          <cell r="A277" t="str">
            <v>2016-09</v>
          </cell>
          <cell r="B277">
            <v>1.1603075497413899</v>
          </cell>
          <cell r="C277">
            <v>8.1150982517042003E-2</v>
          </cell>
          <cell r="D277">
            <v>1.63805197337925</v>
          </cell>
          <cell r="E277">
            <v>-0.96686640173858596</v>
          </cell>
          <cell r="F277">
            <v>0.52178521182997295</v>
          </cell>
        </row>
        <row r="278">
          <cell r="A278" t="str">
            <v>2016-10</v>
          </cell>
          <cell r="B278">
            <v>5.0648724257486499</v>
          </cell>
          <cell r="C278">
            <v>8.1388175802117502</v>
          </cell>
          <cell r="D278">
            <v>3.1410849894895101</v>
          </cell>
          <cell r="E278">
            <v>2.5374076237462999</v>
          </cell>
          <cell r="F278">
            <v>0.51033025300206702</v>
          </cell>
        </row>
        <row r="279">
          <cell r="A279" t="str">
            <v>2016-11</v>
          </cell>
          <cell r="B279">
            <v>-8.4054390798208907</v>
          </cell>
          <cell r="C279">
            <v>3.5490214377247802</v>
          </cell>
          <cell r="D279">
            <v>0.73891964943824096</v>
          </cell>
          <cell r="E279">
            <v>-5.6563973209786704</v>
          </cell>
          <cell r="F279">
            <v>0.50788777457526602</v>
          </cell>
        </row>
        <row r="280">
          <cell r="A280" t="str">
            <v>2016-12</v>
          </cell>
          <cell r="B280">
            <v>-0.30671203862171498</v>
          </cell>
          <cell r="C280">
            <v>-1.7844973266055599</v>
          </cell>
          <cell r="D280">
            <v>-0.84297527607426503</v>
          </cell>
          <cell r="E280">
            <v>-1.34668810983173</v>
          </cell>
          <cell r="F280">
            <v>0.48675786090843798</v>
          </cell>
        </row>
        <row r="281">
          <cell r="A281" t="str">
            <v>2017-01</v>
          </cell>
          <cell r="B281">
            <v>9.0071073744701899E-2</v>
          </cell>
          <cell r="C281">
            <v>8.7185441089342905</v>
          </cell>
          <cell r="D281">
            <v>4.3146925901924602</v>
          </cell>
          <cell r="E281">
            <v>4.88674103008508</v>
          </cell>
          <cell r="F281">
            <v>0.53246581058026299</v>
          </cell>
        </row>
        <row r="282">
          <cell r="A282" t="str">
            <v>2017-02</v>
          </cell>
          <cell r="B282">
            <v>8.5939998983341995E-2</v>
          </cell>
          <cell r="C282">
            <v>0.59266778596891401</v>
          </cell>
          <cell r="D282">
            <v>-2.0075679834707101</v>
          </cell>
          <cell r="E282">
            <v>3.7766185602294402</v>
          </cell>
          <cell r="F282">
            <v>0.45950184722884901</v>
          </cell>
        </row>
        <row r="283">
          <cell r="A283" t="str">
            <v>2017-03</v>
          </cell>
          <cell r="B283">
            <v>1.53451739089567</v>
          </cell>
          <cell r="C283">
            <v>0.73873670890369802</v>
          </cell>
          <cell r="D283">
            <v>1.9875251935549401</v>
          </cell>
          <cell r="E283">
            <v>2.6944863008112598</v>
          </cell>
          <cell r="F283">
            <v>0.49181205355566199</v>
          </cell>
        </row>
        <row r="284">
          <cell r="A284" t="str">
            <v>2017-04</v>
          </cell>
          <cell r="B284">
            <v>6.5968448425325601</v>
          </cell>
          <cell r="C284">
            <v>0.824057967911762</v>
          </cell>
          <cell r="D284">
            <v>3.6013555745550798</v>
          </cell>
          <cell r="E284">
            <v>1.91165114104264</v>
          </cell>
          <cell r="F284">
            <v>0.44545828475592902</v>
          </cell>
        </row>
        <row r="285">
          <cell r="A285" t="str">
            <v>2017-05</v>
          </cell>
          <cell r="B285">
            <v>-2.57387321479092</v>
          </cell>
          <cell r="C285">
            <v>-5.1438626639300802</v>
          </cell>
          <cell r="D285">
            <v>2.2362936118036401</v>
          </cell>
          <cell r="E285">
            <v>-0.29711922026208798</v>
          </cell>
          <cell r="F285">
            <v>0.54942918117122397</v>
          </cell>
        </row>
        <row r="286">
          <cell r="A286" t="str">
            <v>2017-06</v>
          </cell>
          <cell r="B286">
            <v>1.9318237503831901</v>
          </cell>
          <cell r="C286">
            <v>1.6488447569507301</v>
          </cell>
          <cell r="D286">
            <v>-1.0068251851910199</v>
          </cell>
          <cell r="E286">
            <v>-0.53960782910313898</v>
          </cell>
          <cell r="F286">
            <v>0.50176102122170296</v>
          </cell>
        </row>
        <row r="287">
          <cell r="A287" t="str">
            <v>2017-07</v>
          </cell>
          <cell r="B287">
            <v>-0.52029010936136499</v>
          </cell>
          <cell r="C287">
            <v>6.79825374491194</v>
          </cell>
          <cell r="D287">
            <v>0.246799918104146</v>
          </cell>
          <cell r="E287">
            <v>4.0213708865613604</v>
          </cell>
          <cell r="F287">
            <v>0.51314897054102204</v>
          </cell>
        </row>
        <row r="288">
          <cell r="A288" t="str">
            <v>2017-08</v>
          </cell>
          <cell r="B288">
            <v>-4.2678565168916798</v>
          </cell>
          <cell r="C288">
            <v>3.5953310356380901</v>
          </cell>
          <cell r="D288">
            <v>7.3613361932642896</v>
          </cell>
          <cell r="E288">
            <v>-0.19989554999025899</v>
          </cell>
          <cell r="F288">
            <v>0.50693598402102902</v>
          </cell>
        </row>
        <row r="289">
          <cell r="A289" t="str">
            <v>2017-09</v>
          </cell>
          <cell r="B289">
            <v>0.69680725896705797</v>
          </cell>
          <cell r="C289">
            <v>1.09801117121811</v>
          </cell>
          <cell r="D289">
            <v>-2.75048005886894</v>
          </cell>
          <cell r="E289">
            <v>-1.4642591034185599</v>
          </cell>
          <cell r="F289">
            <v>0.47109459224350397</v>
          </cell>
        </row>
        <row r="290">
          <cell r="A290" t="str">
            <v>2017-10</v>
          </cell>
          <cell r="B290">
            <v>1.35922649397782</v>
          </cell>
          <cell r="C290">
            <v>6.9135264749120999</v>
          </cell>
          <cell r="D290">
            <v>3.9668069646400501</v>
          </cell>
          <cell r="E290">
            <v>8.1376354870757606</v>
          </cell>
          <cell r="F290">
            <v>0.51938975438912105</v>
          </cell>
        </row>
        <row r="291">
          <cell r="A291" t="str">
            <v>2017-11</v>
          </cell>
          <cell r="B291">
            <v>5.7069773038211498</v>
          </cell>
          <cell r="C291">
            <v>-3.5847976616376198</v>
          </cell>
          <cell r="D291">
            <v>-4.52088604405931E-2</v>
          </cell>
          <cell r="E291">
            <v>6.2684808308444098E-2</v>
          </cell>
          <cell r="F291">
            <v>0.48826166615541</v>
          </cell>
        </row>
        <row r="292">
          <cell r="A292" t="str">
            <v>2017-12</v>
          </cell>
          <cell r="B292">
            <v>0.64220454788586101</v>
          </cell>
          <cell r="C292">
            <v>5.18796713982508</v>
          </cell>
          <cell r="D292">
            <v>-1.8688420260407299</v>
          </cell>
          <cell r="E292">
            <v>4.4401741312634497</v>
          </cell>
          <cell r="F292">
            <v>0.475919181131923</v>
          </cell>
        </row>
        <row r="293">
          <cell r="A293" t="str">
            <v>2018-01</v>
          </cell>
          <cell r="B293">
            <v>-3.3195187577201</v>
          </cell>
          <cell r="C293">
            <v>-0.93857783052248001</v>
          </cell>
          <cell r="D293">
            <v>0.44509033010153898</v>
          </cell>
          <cell r="E293">
            <v>-0.52519359422981104</v>
          </cell>
          <cell r="F293">
            <v>0.55468046088789102</v>
          </cell>
        </row>
        <row r="294">
          <cell r="A294" t="str">
            <v>2018-02</v>
          </cell>
          <cell r="B294">
            <v>-1.29058798223775</v>
          </cell>
          <cell r="C294">
            <v>-2.5762219034347802</v>
          </cell>
          <cell r="D294">
            <v>1.7349051827629101</v>
          </cell>
          <cell r="E294">
            <v>-3.49289486179131</v>
          </cell>
          <cell r="F294">
            <v>0.475029462895105</v>
          </cell>
        </row>
        <row r="295">
          <cell r="A295" t="str">
            <v>2018-03</v>
          </cell>
          <cell r="B295">
            <v>-2.7013497989664801</v>
          </cell>
          <cell r="C295">
            <v>-6.8002566221965903</v>
          </cell>
          <cell r="D295">
            <v>4.6366367144899296</v>
          </cell>
          <cell r="E295">
            <v>-5.2425286213617897</v>
          </cell>
          <cell r="F295">
            <v>0.46667802503921302</v>
          </cell>
        </row>
        <row r="296">
          <cell r="A296" t="str">
            <v>2018-04</v>
          </cell>
          <cell r="B296">
            <v>0.77891891754888798</v>
          </cell>
          <cell r="C296">
            <v>-0.57554120544617304</v>
          </cell>
          <cell r="D296">
            <v>3.8239926433671698</v>
          </cell>
          <cell r="E296">
            <v>6.4987847934038898</v>
          </cell>
          <cell r="F296">
            <v>0.53817289871642704</v>
          </cell>
        </row>
        <row r="297">
          <cell r="A297" t="str">
            <v>2018-05</v>
          </cell>
          <cell r="B297">
            <v>-4.2242312953057803</v>
          </cell>
          <cell r="C297">
            <v>-2.05293786543315</v>
          </cell>
          <cell r="D297">
            <v>2.4198955089452601</v>
          </cell>
          <cell r="E297">
            <v>-4.0999690944737797</v>
          </cell>
          <cell r="F297">
            <v>0.51989890988481902</v>
          </cell>
        </row>
        <row r="298">
          <cell r="A298" t="str">
            <v>2018-06</v>
          </cell>
          <cell r="B298">
            <v>-6.4678340858249799</v>
          </cell>
          <cell r="C298">
            <v>-5.0040321842946298</v>
          </cell>
          <cell r="D298">
            <v>0.69374097724788097</v>
          </cell>
          <cell r="E298">
            <v>-2.8892822790746502</v>
          </cell>
          <cell r="F298">
            <v>0.50022328326155796</v>
          </cell>
        </row>
        <row r="299">
          <cell r="A299" t="str">
            <v>2018-07</v>
          </cell>
          <cell r="B299">
            <v>-0.16972103733883201</v>
          </cell>
          <cell r="C299">
            <v>-2.0060236864408298</v>
          </cell>
          <cell r="D299">
            <v>2.6947091619351902</v>
          </cell>
          <cell r="E299">
            <v>4.6858135991566501</v>
          </cell>
          <cell r="F299">
            <v>0.55688608141386498</v>
          </cell>
        </row>
        <row r="300">
          <cell r="A300" t="str">
            <v>2018-08</v>
          </cell>
          <cell r="B300">
            <v>-1.4048828841680501</v>
          </cell>
          <cell r="C300">
            <v>-0.18029851613923201</v>
          </cell>
          <cell r="D300">
            <v>4.7156591042539304</v>
          </cell>
          <cell r="E300">
            <v>4.32468126276948</v>
          </cell>
          <cell r="F300">
            <v>0.556079477964877</v>
          </cell>
        </row>
        <row r="301">
          <cell r="A301" t="str">
            <v>2018-09</v>
          </cell>
          <cell r="B301">
            <v>-10.6264781159141</v>
          </cell>
          <cell r="C301">
            <v>-2.7723207370176901</v>
          </cell>
          <cell r="D301">
            <v>5.19163924429993</v>
          </cell>
          <cell r="E301">
            <v>-8.0163510449814801</v>
          </cell>
          <cell r="F301">
            <v>0.51598238157564102</v>
          </cell>
        </row>
        <row r="302">
          <cell r="A302" t="str">
            <v>2018-10</v>
          </cell>
          <cell r="B302">
            <v>4.86626277983531</v>
          </cell>
          <cell r="C302">
            <v>2.0234297180366601</v>
          </cell>
          <cell r="D302">
            <v>-0.78670491401735498</v>
          </cell>
          <cell r="E302">
            <v>-5.9040983494123997</v>
          </cell>
          <cell r="F302">
            <v>0.61472147542698297</v>
          </cell>
        </row>
        <row r="303">
          <cell r="A303" t="str">
            <v>2018-11</v>
          </cell>
          <cell r="B303">
            <v>-0.16114823496469199</v>
          </cell>
          <cell r="C303">
            <v>-3.6374800752143601</v>
          </cell>
          <cell r="D303">
            <v>-1.1043403076873</v>
          </cell>
          <cell r="E303">
            <v>2.2802518708954702</v>
          </cell>
          <cell r="F303">
            <v>0.54852146092496701</v>
          </cell>
        </row>
        <row r="304">
          <cell r="A304" t="str">
            <v>2018-12</v>
          </cell>
          <cell r="B304">
            <v>1.23786803470212</v>
          </cell>
          <cell r="C304">
            <v>1.48471502509875</v>
          </cell>
          <cell r="D304">
            <v>-3.3413731948810499</v>
          </cell>
          <cell r="E304">
            <v>-0.39749751202206002</v>
          </cell>
          <cell r="F304">
            <v>0.55073089190775804</v>
          </cell>
        </row>
        <row r="305">
          <cell r="A305" t="str">
            <v>2019-01</v>
          </cell>
          <cell r="B305">
            <v>-4.0526588418047398</v>
          </cell>
          <cell r="C305">
            <v>-4.8821270628378999</v>
          </cell>
          <cell r="D305">
            <v>5.6685809289898099</v>
          </cell>
          <cell r="E305">
            <v>-2.43762089719826</v>
          </cell>
          <cell r="F305">
            <v>0.546663548496928</v>
          </cell>
        </row>
        <row r="306">
          <cell r="A306" t="str">
            <v>2019-02</v>
          </cell>
          <cell r="B306">
            <v>-4.9338478269102497</v>
          </cell>
          <cell r="C306">
            <v>-0.44171624329155701</v>
          </cell>
          <cell r="D306">
            <v>-2.3502929108262101</v>
          </cell>
          <cell r="E306">
            <v>-0.68224629988401497</v>
          </cell>
          <cell r="F306">
            <v>0.48209350768535503</v>
          </cell>
        </row>
        <row r="307">
          <cell r="A307" t="str">
            <v>2019-03</v>
          </cell>
          <cell r="B307">
            <v>1.84639361118071</v>
          </cell>
          <cell r="C307">
            <v>0.925489372710531</v>
          </cell>
          <cell r="D307">
            <v>-2.6427084916102102</v>
          </cell>
          <cell r="E307">
            <v>5.5363974271269001</v>
          </cell>
          <cell r="F307">
            <v>0.49101891678395798</v>
          </cell>
        </row>
        <row r="308">
          <cell r="A308" t="str">
            <v>2019-04</v>
          </cell>
          <cell r="B308">
            <v>-2.84830401951672</v>
          </cell>
          <cell r="C308">
            <v>-1.6729900139757901</v>
          </cell>
          <cell r="D308">
            <v>2.70463218952752</v>
          </cell>
          <cell r="E308">
            <v>0.41099510146871399</v>
          </cell>
          <cell r="F308">
            <v>0.53696718342961502</v>
          </cell>
        </row>
        <row r="309">
          <cell r="A309" t="str">
            <v>2019-05</v>
          </cell>
          <cell r="B309">
            <v>2.0901092063952702</v>
          </cell>
          <cell r="C309">
            <v>-0.932268364079747</v>
          </cell>
          <cell r="D309">
            <v>2.8874364170779598</v>
          </cell>
          <cell r="E309">
            <v>-0.97191503617828401</v>
          </cell>
          <cell r="F309">
            <v>0.52814636233500201</v>
          </cell>
        </row>
        <row r="310">
          <cell r="A310" t="str">
            <v>2019-06</v>
          </cell>
          <cell r="B310">
            <v>-5.8395324961834003</v>
          </cell>
          <cell r="C310">
            <v>-3.5441305012808599</v>
          </cell>
          <cell r="D310">
            <v>7.2419985463965597</v>
          </cell>
          <cell r="E310">
            <v>-2.3656831378723702</v>
          </cell>
          <cell r="F310">
            <v>0.45017713832273798</v>
          </cell>
        </row>
        <row r="311">
          <cell r="A311" t="str">
            <v>2019-07</v>
          </cell>
          <cell r="B311">
            <v>-5.1485978851754997</v>
          </cell>
          <cell r="C311">
            <v>-6.6402271394366199</v>
          </cell>
          <cell r="D311">
            <v>11.488703179441799</v>
          </cell>
          <cell r="E311">
            <v>-6.7473007920846397</v>
          </cell>
          <cell r="F311">
            <v>0.51574711354100999</v>
          </cell>
        </row>
        <row r="312">
          <cell r="A312" t="str">
            <v>2019-08</v>
          </cell>
          <cell r="B312">
            <v>0.15230570783924</v>
          </cell>
          <cell r="C312">
            <v>-9.6753184758805908</v>
          </cell>
          <cell r="D312">
            <v>6.96872126733588</v>
          </cell>
          <cell r="E312">
            <v>6.8933891982148096E-2</v>
          </cell>
          <cell r="F312">
            <v>0.44082765406623398</v>
          </cell>
        </row>
        <row r="313">
          <cell r="A313" t="str">
            <v>2019-09</v>
          </cell>
          <cell r="B313">
            <v>-0.31701016635602403</v>
          </cell>
          <cell r="C313">
            <v>1.85959578733299</v>
          </cell>
          <cell r="D313">
            <v>-2.5461154042473102</v>
          </cell>
          <cell r="E313">
            <v>4.2299054767928297</v>
          </cell>
          <cell r="F313">
            <v>0.44337848584377099</v>
          </cell>
        </row>
        <row r="314">
          <cell r="A314" t="str">
            <v>2019-10</v>
          </cell>
          <cell r="B314">
            <v>-3.2858718543271701</v>
          </cell>
          <cell r="C314">
            <v>-2.3597479594032098</v>
          </cell>
          <cell r="D314">
            <v>5.4719041423030097</v>
          </cell>
          <cell r="E314">
            <v>4.03185775318018</v>
          </cell>
          <cell r="F314">
            <v>0.43036289632507602</v>
          </cell>
        </row>
        <row r="315">
          <cell r="A315" t="str">
            <v>2019-11</v>
          </cell>
          <cell r="B315">
            <v>-3.2600404090436998</v>
          </cell>
          <cell r="C315">
            <v>5.0560957113033904</v>
          </cell>
          <cell r="D315">
            <v>-8.8905048483097406</v>
          </cell>
          <cell r="E315">
            <v>-1.8626988803340601</v>
          </cell>
          <cell r="F315">
            <v>0.39055338625040298</v>
          </cell>
        </row>
        <row r="316">
          <cell r="A316" t="str">
            <v>2019-12</v>
          </cell>
          <cell r="B316">
            <v>-1.13867904504802</v>
          </cell>
          <cell r="C316">
            <v>-6.9431465068847703E-2</v>
          </cell>
          <cell r="D316">
            <v>1.94771358212862</v>
          </cell>
          <cell r="E316">
            <v>-0.28237569702772602</v>
          </cell>
          <cell r="F316">
            <v>0.42672589180961001</v>
          </cell>
        </row>
        <row r="317">
          <cell r="A317" t="str">
            <v>2020-01</v>
          </cell>
          <cell r="B317">
            <v>8.8954965141494906</v>
          </cell>
          <cell r="C317">
            <v>-3.0257788199520599</v>
          </cell>
          <cell r="D317">
            <v>0.78853458229166695</v>
          </cell>
          <cell r="E317">
            <v>0.90471867789925198</v>
          </cell>
          <cell r="F317">
            <v>0.420190847495094</v>
          </cell>
        </row>
        <row r="318">
          <cell r="A318" t="str">
            <v>2020-02</v>
          </cell>
          <cell r="B318">
            <v>-0.80557542241559399</v>
          </cell>
          <cell r="C318">
            <v>-9.3678880294403193</v>
          </cell>
          <cell r="D318">
            <v>10.858992928962101</v>
          </cell>
          <cell r="E318">
            <v>-6.3181009071994296</v>
          </cell>
          <cell r="F318">
            <v>0.38184257328353099</v>
          </cell>
        </row>
        <row r="319">
          <cell r="A319" t="str">
            <v>2020-03</v>
          </cell>
          <cell r="B319">
            <v>-14.0883548740201</v>
          </cell>
          <cell r="C319">
            <v>-8.2935748825358804</v>
          </cell>
          <cell r="D319">
            <v>13.766236522812401</v>
          </cell>
          <cell r="E319">
            <v>-18.8097797156518</v>
          </cell>
          <cell r="F319">
            <v>0.42506441592597999</v>
          </cell>
        </row>
        <row r="320">
          <cell r="A320" t="str">
            <v>2020-04</v>
          </cell>
          <cell r="B320">
            <v>1.96977675612022</v>
          </cell>
          <cell r="C320">
            <v>7.12000545267197</v>
          </cell>
          <cell r="D320">
            <v>-13.484765144501299</v>
          </cell>
          <cell r="E320">
            <v>13.884991081058701</v>
          </cell>
          <cell r="F320">
            <v>0.332539715273517</v>
          </cell>
        </row>
        <row r="321">
          <cell r="A321" t="str">
            <v>2020-05</v>
          </cell>
          <cell r="B321">
            <v>-4.8460103660532097</v>
          </cell>
          <cell r="C321">
            <v>1.0242743656595099</v>
          </cell>
          <cell r="D321">
            <v>0.95953069178060801</v>
          </cell>
          <cell r="E321">
            <v>0.48871049140519801</v>
          </cell>
          <cell r="F321">
            <v>0.270374647670235</v>
          </cell>
        </row>
        <row r="322">
          <cell r="A322" t="str">
            <v>2020-06</v>
          </cell>
          <cell r="B322">
            <v>8.8769795097260609</v>
          </cell>
          <cell r="C322">
            <v>13.6140916740744</v>
          </cell>
          <cell r="D322">
            <v>-5.8271184342332401</v>
          </cell>
          <cell r="E322">
            <v>7.7202131512697596</v>
          </cell>
          <cell r="F322">
            <v>0.284541423862539</v>
          </cell>
        </row>
        <row r="323">
          <cell r="A323" t="str">
            <v>2020-07</v>
          </cell>
          <cell r="B323">
            <v>-2.9890769587299002</v>
          </cell>
          <cell r="C323">
            <v>-4.2776346570017898</v>
          </cell>
          <cell r="D323">
            <v>4.3414782042244102</v>
          </cell>
          <cell r="E323">
            <v>7.10654745602546</v>
          </cell>
          <cell r="F323">
            <v>0.268000428309079</v>
          </cell>
        </row>
        <row r="324">
          <cell r="A324" t="str">
            <v>2020-08</v>
          </cell>
          <cell r="B324">
            <v>7.2068672088375898</v>
          </cell>
          <cell r="C324">
            <v>4.9527667577702301</v>
          </cell>
          <cell r="D324">
            <v>-8.3812357336178298</v>
          </cell>
          <cell r="E324">
            <v>3.1318189166445101</v>
          </cell>
          <cell r="F324">
            <v>0.27133853865308799</v>
          </cell>
        </row>
        <row r="325">
          <cell r="A325" t="str">
            <v>2020-09</v>
          </cell>
          <cell r="B325">
            <v>2.67919073079308</v>
          </cell>
          <cell r="C325">
            <v>-8.4030176725732897</v>
          </cell>
          <cell r="D325">
            <v>9.1008235150122907</v>
          </cell>
          <cell r="E325">
            <v>2.23664316875429</v>
          </cell>
          <cell r="F325">
            <v>0.26483947262991903</v>
          </cell>
        </row>
        <row r="326">
          <cell r="A326" t="str">
            <v>2020-10</v>
          </cell>
          <cell r="B326">
            <v>0.32518116398394498</v>
          </cell>
          <cell r="C326">
            <v>-1.4507090239521301</v>
          </cell>
          <cell r="D326">
            <v>-0.164346456077269</v>
          </cell>
          <cell r="E326">
            <v>0.41858925832121102</v>
          </cell>
          <cell r="F326">
            <v>0.26405836827296802</v>
          </cell>
        </row>
        <row r="327">
          <cell r="A327" t="str">
            <v>2020-11</v>
          </cell>
          <cell r="B327">
            <v>-3.4368114793990499</v>
          </cell>
          <cell r="C327">
            <v>10.066973333952401</v>
          </cell>
          <cell r="D327">
            <v>-8.1988202489499002</v>
          </cell>
          <cell r="E327">
            <v>7.0189823014477302</v>
          </cell>
          <cell r="F327">
            <v>0.23462807507796901</v>
          </cell>
        </row>
        <row r="328">
          <cell r="A328" t="str">
            <v>2020-12</v>
          </cell>
          <cell r="B328">
            <v>1.83052873077389</v>
          </cell>
          <cell r="C328">
            <v>10.279458465920399</v>
          </cell>
          <cell r="D328">
            <v>-3.75097319313352</v>
          </cell>
          <cell r="E328">
            <v>8.0528510174735501</v>
          </cell>
          <cell r="F328">
            <v>0.28213202118609898</v>
          </cell>
        </row>
        <row r="329">
          <cell r="A329" t="str">
            <v>2021-01</v>
          </cell>
          <cell r="B329">
            <v>0.59219513052146699</v>
          </cell>
          <cell r="C329">
            <v>-2.5540175890501802</v>
          </cell>
          <cell r="D329">
            <v>-1.77552143238209</v>
          </cell>
          <cell r="E329">
            <v>-0.78431175679141196</v>
          </cell>
          <cell r="F329">
            <v>0.25002724438381002</v>
          </cell>
        </row>
        <row r="330">
          <cell r="A330" t="str">
            <v>2021-02</v>
          </cell>
          <cell r="B330">
            <v>-3.7331547996922501</v>
          </cell>
          <cell r="C330">
            <v>11.3499060444245</v>
          </cell>
          <cell r="D330">
            <v>2.7685560440565</v>
          </cell>
          <cell r="E330">
            <v>6.2097396862584002</v>
          </cell>
          <cell r="F330">
            <v>0.24891893255252201</v>
          </cell>
        </row>
        <row r="331">
          <cell r="A331" t="str">
            <v>2021-03</v>
          </cell>
          <cell r="B331">
            <v>-2.6946604635753801</v>
          </cell>
          <cell r="C331">
            <v>-1.92742143816457</v>
          </cell>
          <cell r="D331">
            <v>3.4948428743955899</v>
          </cell>
          <cell r="E331">
            <v>2.9889286315414498</v>
          </cell>
          <cell r="F331">
            <v>0.28979918506042401</v>
          </cell>
        </row>
        <row r="332">
          <cell r="A332" t="str">
            <v>2021-04</v>
          </cell>
          <cell r="B332">
            <v>0.68645387695498405</v>
          </cell>
          <cell r="C332">
            <v>10.558442333586401</v>
          </cell>
          <cell r="D332">
            <v>5.7965950344661197</v>
          </cell>
          <cell r="E332">
            <v>1.4509421829481901</v>
          </cell>
          <cell r="F332">
            <v>0.27000609337965997</v>
          </cell>
        </row>
        <row r="333">
          <cell r="A333" t="str">
            <v>2021-05</v>
          </cell>
          <cell r="B333">
            <v>5.1217180892495699</v>
          </cell>
          <cell r="C333">
            <v>2.3088182636932002</v>
          </cell>
          <cell r="D333">
            <v>0.21200916469419401</v>
          </cell>
          <cell r="E333">
            <v>7.4275526008836099</v>
          </cell>
          <cell r="F333">
            <v>0.280830449972647</v>
          </cell>
        </row>
        <row r="334">
          <cell r="A334" t="str">
            <v>2021-06</v>
          </cell>
          <cell r="B334">
            <v>7.8133589421519201</v>
          </cell>
          <cell r="C334">
            <v>4.3821413231884199</v>
          </cell>
          <cell r="D334">
            <v>-1.6724746812787501</v>
          </cell>
          <cell r="E334">
            <v>3.0546572057172301</v>
          </cell>
          <cell r="F334">
            <v>0.277839301541638</v>
          </cell>
        </row>
        <row r="335">
          <cell r="A335" t="str">
            <v>2021-07</v>
          </cell>
          <cell r="B335">
            <v>5.2968552158752598</v>
          </cell>
          <cell r="C335">
            <v>7.1290449105865896</v>
          </cell>
          <cell r="D335">
            <v>3.9149661437329701</v>
          </cell>
          <cell r="E335">
            <v>1.73693227098162</v>
          </cell>
          <cell r="F335">
            <v>0.27755769106949701</v>
          </cell>
        </row>
        <row r="336">
          <cell r="A336" t="str">
            <v>2021-08</v>
          </cell>
          <cell r="B336">
            <v>-8.1047481407258299</v>
          </cell>
          <cell r="C336">
            <v>-7.1379151501241198</v>
          </cell>
          <cell r="D336">
            <v>2.8823317916023101</v>
          </cell>
          <cell r="E336">
            <v>5.67978581644548</v>
          </cell>
          <cell r="F336">
            <v>0.28981422132603502</v>
          </cell>
        </row>
        <row r="337">
          <cell r="A337" t="str">
            <v>2021-09</v>
          </cell>
          <cell r="B337">
            <v>-1.61460679442051</v>
          </cell>
          <cell r="C337">
            <v>10.389382807693901</v>
          </cell>
          <cell r="D337">
            <v>-2.4761634180306298</v>
          </cell>
          <cell r="E337">
            <v>4.1871689189304098</v>
          </cell>
          <cell r="F337">
            <v>0.26783476395397798</v>
          </cell>
        </row>
        <row r="338">
          <cell r="A338" t="str">
            <v>2021-10</v>
          </cell>
          <cell r="B338">
            <v>1.6854276683435601</v>
          </cell>
          <cell r="C338">
            <v>0.64668442294983897</v>
          </cell>
          <cell r="D338">
            <v>6.7480874977405199</v>
          </cell>
          <cell r="E338">
            <v>-1.1338168098827599</v>
          </cell>
          <cell r="F338">
            <v>0.26969634872962001</v>
          </cell>
        </row>
        <row r="339">
          <cell r="A339" t="str">
            <v>2021-11</v>
          </cell>
          <cell r="B339">
            <v>2.0953484010920902</v>
          </cell>
          <cell r="C339">
            <v>-1.3514898054434099</v>
          </cell>
          <cell r="D339">
            <v>4.6910488738253404</v>
          </cell>
          <cell r="E339">
            <v>-0.95443508620058903</v>
          </cell>
          <cell r="F339">
            <v>0.30726726506566898</v>
          </cell>
        </row>
        <row r="340">
          <cell r="A340" t="str">
            <v>2021-12</v>
          </cell>
          <cell r="B340">
            <v>6.0407343437029599</v>
          </cell>
          <cell r="C340">
            <v>1.1310284123183401</v>
          </cell>
          <cell r="D340">
            <v>3.4924130921846399</v>
          </cell>
          <cell r="E340">
            <v>3.8301592457733502</v>
          </cell>
          <cell r="F340">
            <v>0.297967278508393</v>
          </cell>
        </row>
        <row r="341">
          <cell r="A341" t="str">
            <v>2022-01</v>
          </cell>
          <cell r="B341">
            <v>-0.68802951702300297</v>
          </cell>
          <cell r="C341">
            <v>10.8500673784868</v>
          </cell>
          <cell r="D341">
            <v>-0.48329066651161501</v>
          </cell>
          <cell r="E341">
            <v>-1.56586328892653</v>
          </cell>
          <cell r="F341">
            <v>0.30303333255301501</v>
          </cell>
        </row>
        <row r="342">
          <cell r="A342" t="str">
            <v>2022-02</v>
          </cell>
          <cell r="B342">
            <v>-6.8190389978933004</v>
          </cell>
          <cell r="C342">
            <v>-2.3061333039358201</v>
          </cell>
          <cell r="D342">
            <v>-1.62792236710648</v>
          </cell>
          <cell r="E342">
            <v>-4.3261588010989698</v>
          </cell>
          <cell r="F342">
            <v>0.28536075972196401</v>
          </cell>
        </row>
        <row r="343">
          <cell r="A343" t="str">
            <v>2022-03</v>
          </cell>
          <cell r="B343">
            <v>2.0504547114624101</v>
          </cell>
          <cell r="C343">
            <v>0.75516028700555204</v>
          </cell>
          <cell r="D343">
            <v>7.2174932850029601</v>
          </cell>
          <cell r="E343">
            <v>4.7006549890577398</v>
          </cell>
          <cell r="F343">
            <v>0.31509481784786098</v>
          </cell>
        </row>
        <row r="344">
          <cell r="A344" t="str">
            <v>2022-04</v>
          </cell>
          <cell r="B344">
            <v>2.1810887243463499</v>
          </cell>
          <cell r="C344">
            <v>4.3110937574941399</v>
          </cell>
          <cell r="D344">
            <v>-2.8991902373232699</v>
          </cell>
          <cell r="E344">
            <v>1.3974634023991199</v>
          </cell>
          <cell r="F344">
            <v>0.30598145461113702</v>
          </cell>
        </row>
        <row r="345">
          <cell r="A345" t="str">
            <v>2022-05</v>
          </cell>
          <cell r="B345">
            <v>-3.4991566105526801</v>
          </cell>
          <cell r="C345">
            <v>-2.3027347452362998</v>
          </cell>
          <cell r="D345">
            <v>-6.0504282273733496</v>
          </cell>
          <cell r="E345">
            <v>-6.5612817377003401</v>
          </cell>
          <cell r="F345">
            <v>0.39284837858015698</v>
          </cell>
        </row>
        <row r="346">
          <cell r="A346" t="str">
            <v>2022-06</v>
          </cell>
          <cell r="B346">
            <v>0.232589112917436</v>
          </cell>
          <cell r="C346">
            <v>-2.9635810669667602</v>
          </cell>
          <cell r="D346">
            <v>1.6398433349458901</v>
          </cell>
          <cell r="E346">
            <v>-4.9347778669585098</v>
          </cell>
          <cell r="F346">
            <v>0.40344207358800099</v>
          </cell>
        </row>
        <row r="347">
          <cell r="A347" t="str">
            <v>2022-07</v>
          </cell>
          <cell r="B347">
            <v>2.31348847014727</v>
          </cell>
          <cell r="C347">
            <v>-3.2585464424788899</v>
          </cell>
          <cell r="D347">
            <v>-2.9620020960215401</v>
          </cell>
          <cell r="E347">
            <v>8.2747630907152594</v>
          </cell>
          <cell r="F347">
            <v>0.40811974221708303</v>
          </cell>
        </row>
        <row r="348">
          <cell r="A348" t="str">
            <v>2022-08</v>
          </cell>
          <cell r="B348">
            <v>1.0319909478687901</v>
          </cell>
          <cell r="C348">
            <v>2.3336199661367001</v>
          </cell>
          <cell r="D348">
            <v>6.1786343983071497</v>
          </cell>
          <cell r="E348">
            <v>4.9043864879744401</v>
          </cell>
          <cell r="F348">
            <v>0.477232754043033</v>
          </cell>
        </row>
        <row r="349">
          <cell r="A349" t="str">
            <v>2022-09</v>
          </cell>
          <cell r="B349">
            <v>3.45046862121441</v>
          </cell>
          <cell r="C349">
            <v>-2.2806876511119301</v>
          </cell>
          <cell r="D349">
            <v>1.6965737064481301</v>
          </cell>
          <cell r="E349">
            <v>-3.5608496893493702</v>
          </cell>
          <cell r="F349">
            <v>0.47487580734537599</v>
          </cell>
        </row>
        <row r="350">
          <cell r="A350" t="str">
            <v>2022-10</v>
          </cell>
          <cell r="B350">
            <v>-2.51526679122026</v>
          </cell>
          <cell r="C350">
            <v>3.19763502460866</v>
          </cell>
          <cell r="D350">
            <v>-0.35715442917606499</v>
          </cell>
          <cell r="E350">
            <v>1.9150297005627901</v>
          </cell>
          <cell r="F350">
            <v>0.51673151969129405</v>
          </cell>
        </row>
        <row r="351">
          <cell r="A351" t="str">
            <v>2022-11</v>
          </cell>
          <cell r="B351">
            <v>-0.42131060578441998</v>
          </cell>
          <cell r="C351">
            <v>5.5302041142363301</v>
          </cell>
          <cell r="D351">
            <v>-1.66563733409163</v>
          </cell>
          <cell r="E351">
            <v>2.3382955405838501</v>
          </cell>
          <cell r="F351">
            <v>0.51503079261991902</v>
          </cell>
        </row>
        <row r="352">
          <cell r="A352" t="str">
            <v>2022-12</v>
          </cell>
          <cell r="B352">
            <v>1.7418782926148499</v>
          </cell>
          <cell r="C352">
            <v>2.83714637930006</v>
          </cell>
          <cell r="D352">
            <v>-3.4871809259351398E-2</v>
          </cell>
          <cell r="E352">
            <v>-3.9759601734713699</v>
          </cell>
          <cell r="F352">
            <v>0.51103103629532898</v>
          </cell>
        </row>
        <row r="353">
          <cell r="A353" t="str">
            <v>2023-01</v>
          </cell>
          <cell r="B353">
            <v>0.36773965822962701</v>
          </cell>
          <cell r="C353">
            <v>3.8132506293955899</v>
          </cell>
          <cell r="D353">
            <v>-3.18932358711987</v>
          </cell>
          <cell r="E353">
            <v>-4.5392000383526296</v>
          </cell>
          <cell r="F353">
            <v>0.54440229347074698</v>
          </cell>
        </row>
        <row r="354">
          <cell r="A354" t="str">
            <v>2023-02</v>
          </cell>
          <cell r="B354">
            <v>-2.2814910933372201</v>
          </cell>
          <cell r="C354">
            <v>0.314294070903953</v>
          </cell>
          <cell r="D354">
            <v>-1.87699806297896</v>
          </cell>
          <cell r="E354">
            <v>-5.4679583164379801</v>
          </cell>
          <cell r="F354">
            <v>0.497016148175633</v>
          </cell>
        </row>
        <row r="355">
          <cell r="A355" t="str">
            <v>2023-03</v>
          </cell>
          <cell r="B355">
            <v>-2.4100970739939198</v>
          </cell>
          <cell r="C355">
            <v>0.83047261890565305</v>
          </cell>
          <cell r="D355">
            <v>1.9217253733664601</v>
          </cell>
          <cell r="E355">
            <v>0.30646540929111199</v>
          </cell>
          <cell r="F355">
            <v>0.56537009991704001</v>
          </cell>
        </row>
        <row r="356">
          <cell r="A356" t="str">
            <v>2023-04</v>
          </cell>
          <cell r="B356">
            <v>6.1892644665366303</v>
          </cell>
          <cell r="C356">
            <v>2.8852192126583001</v>
          </cell>
          <cell r="D356">
            <v>-3.8882015624407602</v>
          </cell>
          <cell r="E356">
            <v>4.06999756464523</v>
          </cell>
          <cell r="F356">
            <v>0.50536050801617305</v>
          </cell>
        </row>
        <row r="357">
          <cell r="A357" t="str">
            <v>2023-05</v>
          </cell>
          <cell r="B357">
            <v>2.10295528333977</v>
          </cell>
          <cell r="C357">
            <v>-1.73077098162034</v>
          </cell>
          <cell r="D357">
            <v>2.22269936132458</v>
          </cell>
          <cell r="E357">
            <v>3.8017279657155401</v>
          </cell>
          <cell r="F357">
            <v>0.60101774937770802</v>
          </cell>
        </row>
        <row r="358">
          <cell r="A358" t="str">
            <v>2023-06</v>
          </cell>
          <cell r="B358">
            <v>3.4175983069923999</v>
          </cell>
          <cell r="C358">
            <v>1.3883067372937801</v>
          </cell>
          <cell r="D358">
            <v>2.2651177347637699</v>
          </cell>
          <cell r="E358">
            <v>4.2625415142435701</v>
          </cell>
          <cell r="F358">
            <v>0.53907552775074297</v>
          </cell>
        </row>
        <row r="359">
          <cell r="A359" t="str">
            <v>2023-07</v>
          </cell>
          <cell r="B359">
            <v>2.0759573469661698</v>
          </cell>
          <cell r="C359">
            <v>6.8164037090330902</v>
          </cell>
          <cell r="D359">
            <v>6.3006002263083198</v>
          </cell>
          <cell r="E359">
            <v>4.4328041856056997</v>
          </cell>
          <cell r="F359">
            <v>0.55429105709146098</v>
          </cell>
        </row>
        <row r="360">
          <cell r="A360" t="str">
            <v>2023-08</v>
          </cell>
          <cell r="B360">
            <v>8.7493406480727796</v>
          </cell>
          <cell r="C360">
            <v>2.0753981926263401</v>
          </cell>
          <cell r="D360">
            <v>0.74839843620044799</v>
          </cell>
          <cell r="E360">
            <v>0.31016585316765399</v>
          </cell>
          <cell r="F360">
            <v>0.55927989420927504</v>
          </cell>
        </row>
        <row r="361">
          <cell r="A361" t="str">
            <v>2023-09</v>
          </cell>
          <cell r="B361">
            <v>-1.4236323362293499</v>
          </cell>
          <cell r="C361">
            <v>4.9771684203315099</v>
          </cell>
          <cell r="D361">
            <v>1.0655072506285901</v>
          </cell>
          <cell r="E361">
            <v>1.72671780789142</v>
          </cell>
          <cell r="F361">
            <v>0.52620683590394202</v>
          </cell>
        </row>
        <row r="362">
          <cell r="A362" t="str">
            <v>2023-10</v>
          </cell>
          <cell r="B362">
            <v>3.3846168489699799</v>
          </cell>
          <cell r="C362">
            <v>-0.100627609842929</v>
          </cell>
          <cell r="D362">
            <v>3.61625162168093</v>
          </cell>
          <cell r="E362">
            <v>-2.8678947552645</v>
          </cell>
          <cell r="F362">
            <v>0.58532030880820196</v>
          </cell>
        </row>
        <row r="363">
          <cell r="A363" t="str">
            <v>2023-11</v>
          </cell>
          <cell r="B363">
            <v>-1.23731643050579</v>
          </cell>
          <cell r="C363">
            <v>5.1785275022272499</v>
          </cell>
          <cell r="D363">
            <v>4.9825814717050898</v>
          </cell>
          <cell r="E363">
            <v>7.3152875369602501</v>
          </cell>
          <cell r="F363">
            <v>0.55229908032254904</v>
          </cell>
        </row>
        <row r="364">
          <cell r="A364" t="str">
            <v>2023-12</v>
          </cell>
          <cell r="B364">
            <v>-4.7470809220517598</v>
          </cell>
          <cell r="C364">
            <v>4.0299415680657997</v>
          </cell>
          <cell r="D364">
            <v>-1.5099529632685</v>
          </cell>
          <cell r="E364">
            <v>7.9760800968939396</v>
          </cell>
          <cell r="F364">
            <v>0.53544649765695496</v>
          </cell>
        </row>
        <row r="365">
          <cell r="A365" t="str">
            <v>2024-01</v>
          </cell>
          <cell r="B365">
            <v>1.69577468431072</v>
          </cell>
          <cell r="C365">
            <v>9.8218981168787902</v>
          </cell>
          <cell r="D365">
            <v>5.8207542438097697</v>
          </cell>
          <cell r="E365">
            <v>4.0190378025185298</v>
          </cell>
          <cell r="F365">
            <v>0.60874375830268801</v>
          </cell>
        </row>
        <row r="366">
          <cell r="A366" t="str">
            <v>2024-02</v>
          </cell>
          <cell r="B366">
            <v>-4.8621514717475902</v>
          </cell>
          <cell r="C366">
            <v>0.51359281293739101</v>
          </cell>
          <cell r="D366">
            <v>3.3836489152929698</v>
          </cell>
          <cell r="E366">
            <v>1.63696829258744</v>
          </cell>
          <cell r="F366">
            <v>0.54084850928797201</v>
          </cell>
        </row>
        <row r="367">
          <cell r="A367" t="str">
            <v>2024-03</v>
          </cell>
          <cell r="B367">
            <v>-7.7436806626740697</v>
          </cell>
          <cell r="C367">
            <v>0.53488532620229501</v>
          </cell>
          <cell r="D367">
            <v>2.4948497466424202</v>
          </cell>
          <cell r="E367">
            <v>-0.78655579775885898</v>
          </cell>
          <cell r="F367">
            <v>0.51320931142186899</v>
          </cell>
        </row>
        <row r="368">
          <cell r="A368" t="str">
            <v>2024-04</v>
          </cell>
          <cell r="B368">
            <v>7.0193587686244499</v>
          </cell>
          <cell r="C368">
            <v>4.6553312255149404</v>
          </cell>
          <cell r="D368">
            <v>1.1547887340476599</v>
          </cell>
          <cell r="E368">
            <v>3.83105393658087</v>
          </cell>
          <cell r="F368">
            <v>0.60527372879846097</v>
          </cell>
        </row>
        <row r="369">
          <cell r="A369" t="str">
            <v>2024-05</v>
          </cell>
          <cell r="B369">
            <v>-3.3059397743813301</v>
          </cell>
          <cell r="C369">
            <v>-2.77033977697744</v>
          </cell>
          <cell r="D369">
            <v>2.91360993609704</v>
          </cell>
          <cell r="E369">
            <v>1.2395062006167901</v>
          </cell>
          <cell r="F369">
            <v>0.57215044564344897</v>
          </cell>
        </row>
        <row r="370">
          <cell r="A370" t="str">
            <v>2024-06</v>
          </cell>
          <cell r="B370">
            <v>4.7416838867903497</v>
          </cell>
          <cell r="C370">
            <v>-1.4626469152849599</v>
          </cell>
          <cell r="D370">
            <v>0.54084179592532899</v>
          </cell>
          <cell r="E370">
            <v>6.6079051899504702</v>
          </cell>
          <cell r="F370">
            <v>0.50828849935375997</v>
          </cell>
        </row>
        <row r="371">
          <cell r="A371" t="str">
            <v>2024-07</v>
          </cell>
          <cell r="B371">
            <v>0.82404731160847799</v>
          </cell>
          <cell r="C371">
            <v>4.16798922477708</v>
          </cell>
          <cell r="D371">
            <v>-2.1811528775191902</v>
          </cell>
          <cell r="E371">
            <v>5.1079086333559296</v>
          </cell>
          <cell r="F371">
            <v>0.59248493124599599</v>
          </cell>
        </row>
        <row r="372">
          <cell r="A372" t="str">
            <v>2024-08</v>
          </cell>
          <cell r="B372">
            <v>1.9327422047866101</v>
          </cell>
          <cell r="C372">
            <v>-0.92508779349745895</v>
          </cell>
          <cell r="D372">
            <v>-0.62881123637694702</v>
          </cell>
          <cell r="E372">
            <v>3.9294529750844E-2</v>
          </cell>
          <cell r="F372">
            <v>0.52950350851925798</v>
          </cell>
        </row>
        <row r="373">
          <cell r="A373" t="str">
            <v>2024-09</v>
          </cell>
          <cell r="B373">
            <v>-0.83326425849591401</v>
          </cell>
          <cell r="C373">
            <v>-0.74185337057879297</v>
          </cell>
          <cell r="D373">
            <v>-1.67507058632216</v>
          </cell>
          <cell r="E373">
            <v>1.01898055034308</v>
          </cell>
          <cell r="F373">
            <v>0.54717974162630201</v>
          </cell>
        </row>
        <row r="374">
          <cell r="A374" t="str">
            <v>2024-10</v>
          </cell>
          <cell r="B374">
            <v>6.9821636514982597</v>
          </cell>
          <cell r="C374">
            <v>-4.5582426252707702</v>
          </cell>
          <cell r="D374">
            <v>2.2963478099558898</v>
          </cell>
          <cell r="E374">
            <v>-7.7250216068735904</v>
          </cell>
          <cell r="F374">
            <v>0.53416553281786505</v>
          </cell>
        </row>
        <row r="375">
          <cell r="A375" t="str">
            <v>2024-11</v>
          </cell>
          <cell r="B375">
            <v>2.1906384073078402</v>
          </cell>
          <cell r="C375">
            <v>-0.98184558468077399</v>
          </cell>
          <cell r="D375">
            <v>2.26737100411236</v>
          </cell>
          <cell r="E375">
            <v>-0.73345809739036005</v>
          </cell>
          <cell r="F375">
            <v>0.49848155166825098</v>
          </cell>
        </row>
        <row r="376">
          <cell r="A376" t="str">
            <v>2024-12</v>
          </cell>
          <cell r="B376">
            <v>2.0749373028460201</v>
          </cell>
          <cell r="C376">
            <v>-0.95261370481830598</v>
          </cell>
          <cell r="D376">
            <v>2.74455338494846</v>
          </cell>
          <cell r="E376">
            <v>-1.9562567916475599</v>
          </cell>
          <cell r="F376">
            <v>0.55099282708179798</v>
          </cell>
        </row>
        <row r="377">
          <cell r="A377" t="str">
            <v>2025-01</v>
          </cell>
          <cell r="B377">
            <v>-6.45867634518084</v>
          </cell>
          <cell r="C377">
            <v>1.3972298168409401</v>
          </cell>
          <cell r="D377">
            <v>-6.3367242539866497</v>
          </cell>
          <cell r="E377">
            <v>-4.9773466155075896</v>
          </cell>
          <cell r="F377">
            <v>0.54364919921017196</v>
          </cell>
        </row>
        <row r="378">
          <cell r="A378" t="str">
            <v>2025-02</v>
          </cell>
          <cell r="B378">
            <v>-6.9453144597886904</v>
          </cell>
          <cell r="C378">
            <v>1.0552958809562101E-2</v>
          </cell>
          <cell r="D378">
            <v>1.03001518588193</v>
          </cell>
          <cell r="E378">
            <v>-11.256306510943499</v>
          </cell>
          <cell r="F378">
            <v>0.48187814688758202</v>
          </cell>
        </row>
        <row r="379">
          <cell r="A379" t="str">
            <v>2025-03</v>
          </cell>
          <cell r="B379">
            <v>-3.1569832337435502</v>
          </cell>
          <cell r="C379">
            <v>2.1000006493072698</v>
          </cell>
          <cell r="D379">
            <v>0.13417772742381201</v>
          </cell>
          <cell r="E379">
            <v>7.0216319812891097</v>
          </cell>
          <cell r="F379">
            <v>0.48309631615119902</v>
          </cell>
        </row>
        <row r="380">
          <cell r="A380" t="str">
            <v>2025-04</v>
          </cell>
          <cell r="B380">
            <v>-0.146924590778619</v>
          </cell>
          <cell r="C380">
            <v>1.39286454832135</v>
          </cell>
          <cell r="D380">
            <v>-2.9274507568486299</v>
          </cell>
          <cell r="E380">
            <v>1.7007498805272201</v>
          </cell>
          <cell r="F380">
            <v>0.53839584459456402</v>
          </cell>
        </row>
        <row r="381">
          <cell r="A381" t="str">
            <v>2025-05</v>
          </cell>
          <cell r="B381">
            <v>7.7126464207936101</v>
          </cell>
          <cell r="C381">
            <v>-0.51333784678526695</v>
          </cell>
          <cell r="D381">
            <v>-6.1047721819510503</v>
          </cell>
          <cell r="E381">
            <v>4.0723565776827897</v>
          </cell>
          <cell r="F381">
            <v>0.46566673069883302</v>
          </cell>
        </row>
        <row r="382">
          <cell r="A382" t="str">
            <v>2025-06</v>
          </cell>
          <cell r="B382">
            <v>0.30188152520975697</v>
          </cell>
          <cell r="C382">
            <v>1.95071933068929</v>
          </cell>
          <cell r="D382">
            <v>1.37563365088749</v>
          </cell>
          <cell r="E382">
            <v>2.96777191011748</v>
          </cell>
          <cell r="F382">
            <v>0.45229959533807901</v>
          </cell>
        </row>
        <row r="383">
          <cell r="A383" t="str">
            <v>2025-07</v>
          </cell>
          <cell r="B383">
            <v>1.8029726248794999</v>
          </cell>
          <cell r="C383">
            <v>1.92982507347168</v>
          </cell>
          <cell r="D383">
            <v>1.92585855825569</v>
          </cell>
          <cell r="E383">
            <v>-3.1317698425836298</v>
          </cell>
          <cell r="F383">
            <v>0.44611922223269901</v>
          </cell>
        </row>
        <row r="384">
          <cell r="A384" t="str">
            <v>2025-08</v>
          </cell>
          <cell r="B384">
            <v>-1.59215664561475</v>
          </cell>
          <cell r="C384">
            <v>-2.3819264034451</v>
          </cell>
          <cell r="D384">
            <v>0.54086710027079199</v>
          </cell>
          <cell r="E384">
            <v>-1.7999926043793599</v>
          </cell>
          <cell r="F384">
            <v>0.42318630840703098</v>
          </cell>
        </row>
        <row r="385">
          <cell r="A385" t="str">
            <v>2025-09</v>
          </cell>
          <cell r="B385">
            <v>-2.82500890026285</v>
          </cell>
          <cell r="C385">
            <v>3.4736648729446702</v>
          </cell>
          <cell r="D385">
            <v>-2.7505545884774398</v>
          </cell>
          <cell r="E385">
            <v>0.53058921044699703</v>
          </cell>
          <cell r="F385">
            <v>0.47012064239220203</v>
          </cell>
        </row>
        <row r="386">
          <cell r="A386" t="str">
            <v>2025-10</v>
          </cell>
          <cell r="B386">
            <v>-2.1472427059362702</v>
          </cell>
          <cell r="C386">
            <v>1.53480392665641</v>
          </cell>
          <cell r="D386">
            <v>1.8485998452446399</v>
          </cell>
          <cell r="E386">
            <v>2.88805719210534</v>
          </cell>
          <cell r="F386">
            <v>0.45155655519557603</v>
          </cell>
        </row>
        <row r="387">
          <cell r="A387" t="str">
            <v>2025-11</v>
          </cell>
          <cell r="B387">
            <v>-3.6742015357537698</v>
          </cell>
          <cell r="C387">
            <v>-1.76672068518769</v>
          </cell>
          <cell r="D387">
            <v>4.9391156459548196</v>
          </cell>
          <cell r="E387">
            <v>-1.00322054924935</v>
          </cell>
          <cell r="F387">
            <v>0.40571313575747903</v>
          </cell>
        </row>
        <row r="388">
          <cell r="A388" t="str">
            <v>2025-12</v>
          </cell>
          <cell r="B388">
            <v>-3.6218873745108802</v>
          </cell>
          <cell r="C388">
            <v>1.8529428610435601</v>
          </cell>
          <cell r="D388">
            <v>1.3013918326985701</v>
          </cell>
          <cell r="E388">
            <v>-0.72072018156236195</v>
          </cell>
          <cell r="F388">
            <v>0.46772133559092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74"/>
  <sheetViews>
    <sheetView topLeftCell="A59" workbookViewId="0">
      <selection activeCell="E18" sqref="E18"/>
    </sheetView>
  </sheetViews>
  <sheetFormatPr defaultRowHeight="14.4" x14ac:dyDescent="0.3"/>
  <cols>
    <col min="4" max="4" width="12.44140625" bestFit="1" customWidth="1"/>
    <col min="5" max="5" width="15.109375" bestFit="1" customWidth="1"/>
    <col min="6" max="6" width="15.88671875" bestFit="1" customWidth="1"/>
  </cols>
  <sheetData>
    <row r="1" spans="1:11" x14ac:dyDescent="0.3">
      <c r="G1">
        <v>2</v>
      </c>
      <c r="H1">
        <v>3</v>
      </c>
      <c r="I1">
        <v>4</v>
      </c>
      <c r="J1">
        <v>5</v>
      </c>
      <c r="K1">
        <v>6</v>
      </c>
    </row>
    <row r="2" spans="1:11" x14ac:dyDescent="0.3">
      <c r="A2" s="1" t="s">
        <v>0</v>
      </c>
      <c r="B2" s="1" t="s">
        <v>1</v>
      </c>
      <c r="C2" s="1" t="s">
        <v>2</v>
      </c>
      <c r="D2" s="1" t="s">
        <v>3</v>
      </c>
      <c r="E2" s="1" t="s">
        <v>4</v>
      </c>
      <c r="F2" s="1" t="s">
        <v>5</v>
      </c>
      <c r="G2" s="2" t="s">
        <v>6</v>
      </c>
      <c r="H2" s="2" t="s">
        <v>7</v>
      </c>
      <c r="I2" s="2" t="s">
        <v>8</v>
      </c>
      <c r="J2" s="2" t="s">
        <v>9</v>
      </c>
      <c r="K2" s="2" t="s">
        <v>10</v>
      </c>
    </row>
    <row r="3" spans="1:11" x14ac:dyDescent="0.3">
      <c r="A3" t="s">
        <v>11</v>
      </c>
      <c r="B3">
        <v>2023</v>
      </c>
      <c r="C3">
        <v>12</v>
      </c>
      <c r="D3">
        <v>-4.5088530140404329E-2</v>
      </c>
      <c r="E3">
        <v>-4.9066097328740073E-2</v>
      </c>
      <c r="F3">
        <v>-6.6042426791924291E-2</v>
      </c>
      <c r="G3">
        <f>VLOOKUP($A3,[1]FourFactors_and_Market_Returns_!$A$1:$F$388,G$1,FALSE)/100</f>
        <v>-4.74708092205176E-2</v>
      </c>
      <c r="H3">
        <f>VLOOKUP($A3,[1]FourFactors_and_Market_Returns_!$A$1:$F$388,H$1,FALSE)/100</f>
        <v>4.0299415680658E-2</v>
      </c>
      <c r="I3">
        <f>VLOOKUP($A3,[1]FourFactors_and_Market_Returns_!$A$1:$F$388,I$1,FALSE)/100</f>
        <v>-1.5099529632685E-2</v>
      </c>
      <c r="J3">
        <f>VLOOKUP($A3,[1]FourFactors_and_Market_Returns_!$A$1:$F$388,J$1,FALSE)/100</f>
        <v>7.9760800968939394E-2</v>
      </c>
      <c r="K3">
        <f>VLOOKUP($A3,[1]FourFactors_and_Market_Returns_!$A$1:$F$388,K$1,FALSE)/100</f>
        <v>5.3544649765695498E-3</v>
      </c>
    </row>
    <row r="4" spans="1:11" x14ac:dyDescent="0.3">
      <c r="A4" t="s">
        <v>12</v>
      </c>
      <c r="B4">
        <v>2023</v>
      </c>
      <c r="C4">
        <v>11</v>
      </c>
      <c r="D4">
        <v>-9.7990089301074092E-3</v>
      </c>
      <c r="E4">
        <v>-6.0746075983039542E-3</v>
      </c>
      <c r="F4">
        <v>2.464447728036959E-2</v>
      </c>
      <c r="G4">
        <f>VLOOKUP($A4,[1]FourFactors_and_Market_Returns_!$A$1:$F$388,G$1,FALSE)/100</f>
        <v>-1.23731643050579E-2</v>
      </c>
      <c r="H4">
        <f>VLOOKUP($A4,[1]FourFactors_and_Market_Returns_!$A$1:$F$388,H$1,FALSE)/100</f>
        <v>5.1785275022272502E-2</v>
      </c>
      <c r="I4">
        <f>VLOOKUP($A4,[1]FourFactors_and_Market_Returns_!$A$1:$F$388,I$1,FALSE)/100</f>
        <v>4.9825814717050901E-2</v>
      </c>
      <c r="J4">
        <f>VLOOKUP($A4,[1]FourFactors_and_Market_Returns_!$A$1:$F$388,J$1,FALSE)/100</f>
        <v>7.3152875369602507E-2</v>
      </c>
      <c r="K4">
        <f>VLOOKUP($A4,[1]FourFactors_and_Market_Returns_!$A$1:$F$388,K$1,FALSE)/100</f>
        <v>5.5229908032254907E-3</v>
      </c>
    </row>
    <row r="5" spans="1:11" x14ac:dyDescent="0.3">
      <c r="A5" t="s">
        <v>13</v>
      </c>
      <c r="B5">
        <v>2023</v>
      </c>
      <c r="C5">
        <v>10</v>
      </c>
      <c r="D5">
        <v>7.5768068700362151E-2</v>
      </c>
      <c r="E5">
        <v>5.3005259856860359E-2</v>
      </c>
      <c r="F5">
        <v>7.1454287119544158E-2</v>
      </c>
      <c r="G5">
        <f>VLOOKUP($A5,[1]FourFactors_and_Market_Returns_!$A$1:$F$388,G$1,FALSE)/100</f>
        <v>3.3846168489699797E-2</v>
      </c>
      <c r="H5">
        <f>VLOOKUP($A5,[1]FourFactors_and_Market_Returns_!$A$1:$F$388,H$1,FALSE)/100</f>
        <v>-1.0062760984292901E-3</v>
      </c>
      <c r="I5">
        <f>VLOOKUP($A5,[1]FourFactors_and_Market_Returns_!$A$1:$F$388,I$1,FALSE)/100</f>
        <v>3.6162516216809298E-2</v>
      </c>
      <c r="J5">
        <f>VLOOKUP($A5,[1]FourFactors_and_Market_Returns_!$A$1:$F$388,J$1,FALSE)/100</f>
        <v>-2.8678947552644999E-2</v>
      </c>
      <c r="K5">
        <f>VLOOKUP($A5,[1]FourFactors_and_Market_Returns_!$A$1:$F$388,K$1,FALSE)/100</f>
        <v>5.8532030880820195E-3</v>
      </c>
    </row>
    <row r="6" spans="1:11" x14ac:dyDescent="0.3">
      <c r="A6" t="s">
        <v>14</v>
      </c>
      <c r="B6">
        <v>2023</v>
      </c>
      <c r="C6">
        <v>9</v>
      </c>
      <c r="D6">
        <v>5.4286268333353198E-2</v>
      </c>
      <c r="E6">
        <v>8.7497223456787621E-2</v>
      </c>
      <c r="F6">
        <v>2.495551033740364E-2</v>
      </c>
      <c r="G6">
        <f>VLOOKUP($A6,[1]FourFactors_and_Market_Returns_!$A$1:$F$388,G$1,FALSE)/100</f>
        <v>-1.4236323362293499E-2</v>
      </c>
      <c r="H6">
        <f>VLOOKUP($A6,[1]FourFactors_and_Market_Returns_!$A$1:$F$388,H$1,FALSE)/100</f>
        <v>4.9771684203315097E-2</v>
      </c>
      <c r="I6">
        <f>VLOOKUP($A6,[1]FourFactors_and_Market_Returns_!$A$1:$F$388,I$1,FALSE)/100</f>
        <v>1.06550725062859E-2</v>
      </c>
      <c r="J6">
        <f>VLOOKUP($A6,[1]FourFactors_and_Market_Returns_!$A$1:$F$388,J$1,FALSE)/100</f>
        <v>1.7267178078914199E-2</v>
      </c>
      <c r="K6">
        <f>VLOOKUP($A6,[1]FourFactors_and_Market_Returns_!$A$1:$F$388,K$1,FALSE)/100</f>
        <v>5.2620683590394205E-3</v>
      </c>
    </row>
    <row r="7" spans="1:11" x14ac:dyDescent="0.3">
      <c r="A7" t="s">
        <v>15</v>
      </c>
      <c r="B7">
        <v>2023</v>
      </c>
      <c r="C7">
        <v>8</v>
      </c>
      <c r="D7">
        <v>2.4102780350471639E-2</v>
      </c>
      <c r="E7">
        <v>7.2787921662953281E-2</v>
      </c>
      <c r="F7">
        <v>7.601176091425535E-4</v>
      </c>
      <c r="G7">
        <f>VLOOKUP($A7,[1]FourFactors_and_Market_Returns_!$A$1:$F$388,G$1,FALSE)/100</f>
        <v>8.7493406480727801E-2</v>
      </c>
      <c r="H7">
        <f>VLOOKUP($A7,[1]FourFactors_and_Market_Returns_!$A$1:$F$388,H$1,FALSE)/100</f>
        <v>2.0753981926263401E-2</v>
      </c>
      <c r="I7">
        <f>VLOOKUP($A7,[1]FourFactors_and_Market_Returns_!$A$1:$F$388,I$1,FALSE)/100</f>
        <v>7.4839843620044802E-3</v>
      </c>
      <c r="J7">
        <f>VLOOKUP($A7,[1]FourFactors_and_Market_Returns_!$A$1:$F$388,J$1,FALSE)/100</f>
        <v>3.1016585316765398E-3</v>
      </c>
      <c r="K7">
        <f>VLOOKUP($A7,[1]FourFactors_and_Market_Returns_!$A$1:$F$388,K$1,FALSE)/100</f>
        <v>5.5927989420927506E-3</v>
      </c>
    </row>
    <row r="8" spans="1:11" x14ac:dyDescent="0.3">
      <c r="A8" t="s">
        <v>16</v>
      </c>
      <c r="B8">
        <v>2023</v>
      </c>
      <c r="C8">
        <v>7</v>
      </c>
      <c r="D8">
        <v>5.1017785799338231E-2</v>
      </c>
      <c r="E8">
        <v>-5.4602059127273556E-3</v>
      </c>
      <c r="F8">
        <v>2.3317000984026531E-2</v>
      </c>
      <c r="G8">
        <f>VLOOKUP($A8,[1]FourFactors_and_Market_Returns_!$A$1:$F$388,G$1,FALSE)/100</f>
        <v>2.0759573469661698E-2</v>
      </c>
      <c r="H8">
        <f>VLOOKUP($A8,[1]FourFactors_and_Market_Returns_!$A$1:$F$388,H$1,FALSE)/100</f>
        <v>6.8164037090330906E-2</v>
      </c>
      <c r="I8">
        <f>VLOOKUP($A8,[1]FourFactors_and_Market_Returns_!$A$1:$F$388,I$1,FALSE)/100</f>
        <v>6.30060022630832E-2</v>
      </c>
      <c r="J8">
        <f>VLOOKUP($A8,[1]FourFactors_and_Market_Returns_!$A$1:$F$388,J$1,FALSE)/100</f>
        <v>4.4328041856056995E-2</v>
      </c>
      <c r="K8">
        <f>VLOOKUP($A8,[1]FourFactors_and_Market_Returns_!$A$1:$F$388,K$1,FALSE)/100</f>
        <v>5.5429105709146097E-3</v>
      </c>
    </row>
    <row r="9" spans="1:11" x14ac:dyDescent="0.3">
      <c r="A9" t="s">
        <v>17</v>
      </c>
      <c r="B9">
        <v>2023</v>
      </c>
      <c r="C9">
        <v>6</v>
      </c>
      <c r="D9">
        <v>1.57014540523309E-2</v>
      </c>
      <c r="E9">
        <v>4.9668116180634783E-2</v>
      </c>
      <c r="F9">
        <v>-6.0126686883461358E-3</v>
      </c>
      <c r="G9">
        <f>VLOOKUP($A9,[1]FourFactors_and_Market_Returns_!$A$1:$F$388,G$1,FALSE)/100</f>
        <v>3.4175983069923997E-2</v>
      </c>
      <c r="H9">
        <f>VLOOKUP($A9,[1]FourFactors_and_Market_Returns_!$A$1:$F$388,H$1,FALSE)/100</f>
        <v>1.3883067372937801E-2</v>
      </c>
      <c r="I9">
        <f>VLOOKUP($A9,[1]FourFactors_and_Market_Returns_!$A$1:$F$388,I$1,FALSE)/100</f>
        <v>2.2651177347637698E-2</v>
      </c>
      <c r="J9">
        <f>VLOOKUP($A9,[1]FourFactors_and_Market_Returns_!$A$1:$F$388,J$1,FALSE)/100</f>
        <v>4.2625415142435702E-2</v>
      </c>
      <c r="K9">
        <f>VLOOKUP($A9,[1]FourFactors_and_Market_Returns_!$A$1:$F$388,K$1,FALSE)/100</f>
        <v>5.3907552775074299E-3</v>
      </c>
    </row>
    <row r="10" spans="1:11" x14ac:dyDescent="0.3">
      <c r="A10" t="s">
        <v>18</v>
      </c>
      <c r="B10">
        <v>2023</v>
      </c>
      <c r="C10">
        <v>5</v>
      </c>
      <c r="D10">
        <v>-1.5504503204276749E-2</v>
      </c>
      <c r="E10">
        <v>1.2273328263762489E-2</v>
      </c>
      <c r="F10">
        <v>8.1995207332853891E-3</v>
      </c>
      <c r="G10">
        <f>VLOOKUP($A10,[1]FourFactors_and_Market_Returns_!$A$1:$F$388,G$1,FALSE)/100</f>
        <v>2.1029552833397702E-2</v>
      </c>
      <c r="H10">
        <f>VLOOKUP($A10,[1]FourFactors_and_Market_Returns_!$A$1:$F$388,H$1,FALSE)/100</f>
        <v>-1.7307709816203401E-2</v>
      </c>
      <c r="I10">
        <f>VLOOKUP($A10,[1]FourFactors_and_Market_Returns_!$A$1:$F$388,I$1,FALSE)/100</f>
        <v>2.2226993613245802E-2</v>
      </c>
      <c r="J10">
        <f>VLOOKUP($A10,[1]FourFactors_and_Market_Returns_!$A$1:$F$388,J$1,FALSE)/100</f>
        <v>3.8017279657155401E-2</v>
      </c>
      <c r="K10">
        <f>VLOOKUP($A10,[1]FourFactors_and_Market_Returns_!$A$1:$F$388,K$1,FALSE)/100</f>
        <v>6.0101774937770802E-3</v>
      </c>
    </row>
    <row r="11" spans="1:11" x14ac:dyDescent="0.3">
      <c r="A11" t="s">
        <v>19</v>
      </c>
      <c r="B11">
        <v>2023</v>
      </c>
      <c r="C11">
        <v>4</v>
      </c>
      <c r="D11">
        <v>3.7905315047138913E-2</v>
      </c>
      <c r="E11">
        <v>2.301907557487402E-2</v>
      </c>
      <c r="F11">
        <v>0.1020606390985042</v>
      </c>
      <c r="G11">
        <f>VLOOKUP($A11,[1]FourFactors_and_Market_Returns_!$A$1:$F$388,G$1,FALSE)/100</f>
        <v>6.18926446653663E-2</v>
      </c>
      <c r="H11">
        <f>VLOOKUP($A11,[1]FourFactors_and_Market_Returns_!$A$1:$F$388,H$1,FALSE)/100</f>
        <v>2.8852192126583E-2</v>
      </c>
      <c r="I11">
        <f>VLOOKUP($A11,[1]FourFactors_and_Market_Returns_!$A$1:$F$388,I$1,FALSE)/100</f>
        <v>-3.8882015624407601E-2</v>
      </c>
      <c r="J11">
        <f>VLOOKUP($A11,[1]FourFactors_and_Market_Returns_!$A$1:$F$388,J$1,FALSE)/100</f>
        <v>4.0699975646452301E-2</v>
      </c>
      <c r="K11">
        <f>VLOOKUP($A11,[1]FourFactors_and_Market_Returns_!$A$1:$F$388,K$1,FALSE)/100</f>
        <v>5.0536050801617306E-3</v>
      </c>
    </row>
    <row r="12" spans="1:11" x14ac:dyDescent="0.3">
      <c r="A12" t="s">
        <v>20</v>
      </c>
      <c r="B12">
        <v>2023</v>
      </c>
      <c r="C12">
        <v>3</v>
      </c>
      <c r="D12">
        <v>3.6028597960437163E-2</v>
      </c>
      <c r="E12">
        <v>-8.6203506008209266E-4</v>
      </c>
      <c r="F12">
        <v>-2.457118467515837E-2</v>
      </c>
      <c r="G12">
        <f>VLOOKUP($A12,[1]FourFactors_and_Market_Returns_!$A$1:$F$388,G$1,FALSE)/100</f>
        <v>-2.41009707399392E-2</v>
      </c>
      <c r="H12">
        <f>VLOOKUP($A12,[1]FourFactors_and_Market_Returns_!$A$1:$F$388,H$1,FALSE)/100</f>
        <v>8.304726189056531E-3</v>
      </c>
      <c r="I12">
        <f>VLOOKUP($A12,[1]FourFactors_and_Market_Returns_!$A$1:$F$388,I$1,FALSE)/100</f>
        <v>1.9217253733664601E-2</v>
      </c>
      <c r="J12">
        <f>VLOOKUP($A12,[1]FourFactors_and_Market_Returns_!$A$1:$F$388,J$1,FALSE)/100</f>
        <v>3.0646540929111198E-3</v>
      </c>
      <c r="K12">
        <f>VLOOKUP($A12,[1]FourFactors_and_Market_Returns_!$A$1:$F$388,K$1,FALSE)/100</f>
        <v>5.6537009991704003E-3</v>
      </c>
    </row>
    <row r="13" spans="1:11" x14ac:dyDescent="0.3">
      <c r="A13" t="s">
        <v>21</v>
      </c>
      <c r="B13">
        <v>2023</v>
      </c>
      <c r="C13">
        <v>2</v>
      </c>
      <c r="D13">
        <v>2.6352361724875911E-2</v>
      </c>
      <c r="E13">
        <v>-5.7491981899594598E-2</v>
      </c>
      <c r="F13">
        <v>4.6393409151134091E-3</v>
      </c>
      <c r="G13">
        <f>VLOOKUP($A13,[1]FourFactors_and_Market_Returns_!$A$1:$F$388,G$1,FALSE)/100</f>
        <v>-2.28149109333722E-2</v>
      </c>
      <c r="H13">
        <f>VLOOKUP($A13,[1]FourFactors_and_Market_Returns_!$A$1:$F$388,H$1,FALSE)/100</f>
        <v>3.1429407090395301E-3</v>
      </c>
      <c r="I13">
        <f>VLOOKUP($A13,[1]FourFactors_and_Market_Returns_!$A$1:$F$388,I$1,FALSE)/100</f>
        <v>-1.8769980629789601E-2</v>
      </c>
      <c r="J13">
        <f>VLOOKUP($A13,[1]FourFactors_and_Market_Returns_!$A$1:$F$388,J$1,FALSE)/100</f>
        <v>-5.4679583164379798E-2</v>
      </c>
      <c r="K13">
        <f>VLOOKUP($A13,[1]FourFactors_and_Market_Returns_!$A$1:$F$388,K$1,FALSE)/100</f>
        <v>4.97016148175633E-3</v>
      </c>
    </row>
    <row r="14" spans="1:11" x14ac:dyDescent="0.3">
      <c r="A14" t="s">
        <v>22</v>
      </c>
      <c r="B14">
        <v>2023</v>
      </c>
      <c r="C14">
        <v>1</v>
      </c>
      <c r="D14">
        <v>2.3412169433025719E-2</v>
      </c>
      <c r="E14">
        <v>5.8687737031520727E-2</v>
      </c>
      <c r="F14">
        <v>7.4504668711288205E-2</v>
      </c>
      <c r="G14">
        <f>VLOOKUP($A14,[1]FourFactors_and_Market_Returns_!$A$1:$F$388,G$1,FALSE)/100</f>
        <v>3.6773965822962701E-3</v>
      </c>
      <c r="H14">
        <f>VLOOKUP($A14,[1]FourFactors_and_Market_Returns_!$A$1:$F$388,H$1,FALSE)/100</f>
        <v>3.8132506293955898E-2</v>
      </c>
      <c r="I14">
        <f>VLOOKUP($A14,[1]FourFactors_and_Market_Returns_!$A$1:$F$388,I$1,FALSE)/100</f>
        <v>-3.1893235871198702E-2</v>
      </c>
      <c r="J14">
        <f>VLOOKUP($A14,[1]FourFactors_and_Market_Returns_!$A$1:$F$388,J$1,FALSE)/100</f>
        <v>-4.5392000383526296E-2</v>
      </c>
      <c r="K14">
        <f>VLOOKUP($A14,[1]FourFactors_and_Market_Returns_!$A$1:$F$388,K$1,FALSE)/100</f>
        <v>5.44402293470747E-3</v>
      </c>
    </row>
    <row r="15" spans="1:11" x14ac:dyDescent="0.3">
      <c r="A15" t="s">
        <v>23</v>
      </c>
      <c r="B15">
        <v>2022</v>
      </c>
      <c r="C15">
        <v>12</v>
      </c>
      <c r="D15">
        <v>-2.9987758118552262E-2</v>
      </c>
      <c r="E15">
        <v>-4.1758400776291379E-2</v>
      </c>
      <c r="F15">
        <v>-2.6936241734324559E-2</v>
      </c>
      <c r="G15">
        <f>VLOOKUP($A15,[1]FourFactors_and_Market_Returns_!$A$1:$F$388,G$1,FALSE)/100</f>
        <v>1.7418782926148499E-2</v>
      </c>
      <c r="H15">
        <f>VLOOKUP($A15,[1]FourFactors_and_Market_Returns_!$A$1:$F$388,H$1,FALSE)/100</f>
        <v>2.8371463793000599E-2</v>
      </c>
      <c r="I15">
        <f>VLOOKUP($A15,[1]FourFactors_and_Market_Returns_!$A$1:$F$388,I$1,FALSE)/100</f>
        <v>-3.48718092593514E-4</v>
      </c>
      <c r="J15">
        <f>VLOOKUP($A15,[1]FourFactors_and_Market_Returns_!$A$1:$F$388,J$1,FALSE)/100</f>
        <v>-3.9759601734713698E-2</v>
      </c>
      <c r="K15">
        <f>VLOOKUP($A15,[1]FourFactors_and_Market_Returns_!$A$1:$F$388,K$1,FALSE)/100</f>
        <v>5.1103103629532897E-3</v>
      </c>
    </row>
    <row r="16" spans="1:11" x14ac:dyDescent="0.3">
      <c r="A16" t="s">
        <v>24</v>
      </c>
      <c r="B16">
        <v>2022</v>
      </c>
      <c r="C16">
        <v>11</v>
      </c>
      <c r="D16">
        <v>5.7070004181082233E-2</v>
      </c>
      <c r="E16">
        <v>9.7174127098794652E-2</v>
      </c>
      <c r="F16">
        <v>7.3811468008672276E-2</v>
      </c>
      <c r="G16">
        <f>VLOOKUP($A16,[1]FourFactors_and_Market_Returns_!$A$1:$F$388,G$1,FALSE)/100</f>
        <v>-4.2131060578441994E-3</v>
      </c>
      <c r="H16">
        <f>VLOOKUP($A16,[1]FourFactors_and_Market_Returns_!$A$1:$F$388,H$1,FALSE)/100</f>
        <v>5.5302041142363298E-2</v>
      </c>
      <c r="I16">
        <f>VLOOKUP($A16,[1]FourFactors_and_Market_Returns_!$A$1:$F$388,I$1,FALSE)/100</f>
        <v>-1.6656373340916301E-2</v>
      </c>
      <c r="J16">
        <f>VLOOKUP($A16,[1]FourFactors_and_Market_Returns_!$A$1:$F$388,J$1,FALSE)/100</f>
        <v>2.3382955405838502E-2</v>
      </c>
      <c r="K16">
        <f>VLOOKUP($A16,[1]FourFactors_and_Market_Returns_!$A$1:$F$388,K$1,FALSE)/100</f>
        <v>5.1503079261991901E-3</v>
      </c>
    </row>
    <row r="17" spans="1:11" x14ac:dyDescent="0.3">
      <c r="A17" t="s">
        <v>25</v>
      </c>
      <c r="B17">
        <v>2022</v>
      </c>
      <c r="C17">
        <v>10</v>
      </c>
      <c r="D17">
        <v>0.1072380106974184</v>
      </c>
      <c r="E17">
        <v>8.1758076105599486E-2</v>
      </c>
      <c r="F17">
        <v>0.1089307582932936</v>
      </c>
      <c r="G17">
        <f>VLOOKUP($A17,[1]FourFactors_and_Market_Returns_!$A$1:$F$388,G$1,FALSE)/100</f>
        <v>-2.5152667912202598E-2</v>
      </c>
      <c r="H17">
        <f>VLOOKUP($A17,[1]FourFactors_and_Market_Returns_!$A$1:$F$388,H$1,FALSE)/100</f>
        <v>3.1976350246086603E-2</v>
      </c>
      <c r="I17">
        <f>VLOOKUP($A17,[1]FourFactors_and_Market_Returns_!$A$1:$F$388,I$1,FALSE)/100</f>
        <v>-3.5715442917606498E-3</v>
      </c>
      <c r="J17">
        <f>VLOOKUP($A17,[1]FourFactors_and_Market_Returns_!$A$1:$F$388,J$1,FALSE)/100</f>
        <v>1.9150297005627901E-2</v>
      </c>
      <c r="K17">
        <f>VLOOKUP($A17,[1]FourFactors_and_Market_Returns_!$A$1:$F$388,K$1,FALSE)/100</f>
        <v>5.1673151969129404E-3</v>
      </c>
    </row>
    <row r="18" spans="1:11" x14ac:dyDescent="0.3">
      <c r="A18" t="s">
        <v>26</v>
      </c>
      <c r="B18">
        <v>2022</v>
      </c>
      <c r="C18">
        <v>9</v>
      </c>
      <c r="D18">
        <v>6.117288523953985E-2</v>
      </c>
      <c r="E18">
        <v>0.11204524887057871</v>
      </c>
      <c r="F18">
        <v>4.113827950248778E-2</v>
      </c>
      <c r="G18">
        <f>VLOOKUP($A18,[1]FourFactors_and_Market_Returns_!$A$1:$F$388,G$1,FALSE)/100</f>
        <v>3.4504686212144101E-2</v>
      </c>
      <c r="H18">
        <f>VLOOKUP($A18,[1]FourFactors_and_Market_Returns_!$A$1:$F$388,H$1,FALSE)/100</f>
        <v>-2.28068765111193E-2</v>
      </c>
      <c r="I18">
        <f>VLOOKUP($A18,[1]FourFactors_and_Market_Returns_!$A$1:$F$388,I$1,FALSE)/100</f>
        <v>1.69657370644813E-2</v>
      </c>
      <c r="J18">
        <f>VLOOKUP($A18,[1]FourFactors_and_Market_Returns_!$A$1:$F$388,J$1,FALSE)/100</f>
        <v>-3.5608496893493699E-2</v>
      </c>
      <c r="K18">
        <f>VLOOKUP($A18,[1]FourFactors_and_Market_Returns_!$A$1:$F$388,K$1,FALSE)/100</f>
        <v>4.7487580734537601E-3</v>
      </c>
    </row>
    <row r="19" spans="1:11" x14ac:dyDescent="0.3">
      <c r="A19" t="s">
        <v>27</v>
      </c>
      <c r="B19">
        <v>2022</v>
      </c>
      <c r="C19">
        <v>8</v>
      </c>
      <c r="D19">
        <v>-8.2355225096681275E-3</v>
      </c>
      <c r="E19">
        <v>-6.7692621148015178E-2</v>
      </c>
      <c r="F19">
        <v>-3.6459269540085083E-2</v>
      </c>
      <c r="G19">
        <f>VLOOKUP($A19,[1]FourFactors_and_Market_Returns_!$A$1:$F$388,G$1,FALSE)/100</f>
        <v>1.03199094786879E-2</v>
      </c>
      <c r="H19">
        <f>VLOOKUP($A19,[1]FourFactors_and_Market_Returns_!$A$1:$F$388,H$1,FALSE)/100</f>
        <v>2.3336199661367001E-2</v>
      </c>
      <c r="I19">
        <f>VLOOKUP($A19,[1]FourFactors_and_Market_Returns_!$A$1:$F$388,I$1,FALSE)/100</f>
        <v>6.17863439830715E-2</v>
      </c>
      <c r="J19">
        <f>VLOOKUP($A19,[1]FourFactors_and_Market_Returns_!$A$1:$F$388,J$1,FALSE)/100</f>
        <v>4.9043864879744402E-2</v>
      </c>
      <c r="K19">
        <f>VLOOKUP($A19,[1]FourFactors_and_Market_Returns_!$A$1:$F$388,K$1,FALSE)/100</f>
        <v>4.7723275404303296E-3</v>
      </c>
    </row>
    <row r="20" spans="1:11" x14ac:dyDescent="0.3">
      <c r="A20" t="s">
        <v>28</v>
      </c>
      <c r="B20">
        <v>2022</v>
      </c>
      <c r="C20">
        <v>7</v>
      </c>
      <c r="D20">
        <v>5.7456602873304598E-2</v>
      </c>
      <c r="E20">
        <v>8.5734003262133748E-2</v>
      </c>
      <c r="F20">
        <v>4.3289964893125088E-2</v>
      </c>
      <c r="G20">
        <f>VLOOKUP($A20,[1]FourFactors_and_Market_Returns_!$A$1:$F$388,G$1,FALSE)/100</f>
        <v>2.3134884701472701E-2</v>
      </c>
      <c r="H20">
        <f>VLOOKUP($A20,[1]FourFactors_and_Market_Returns_!$A$1:$F$388,H$1,FALSE)/100</f>
        <v>-3.25854644247889E-2</v>
      </c>
      <c r="I20">
        <f>VLOOKUP($A20,[1]FourFactors_and_Market_Returns_!$A$1:$F$388,I$1,FALSE)/100</f>
        <v>-2.9620020960215401E-2</v>
      </c>
      <c r="J20">
        <f>VLOOKUP($A20,[1]FourFactors_and_Market_Returns_!$A$1:$F$388,J$1,FALSE)/100</f>
        <v>8.2747630907152592E-2</v>
      </c>
      <c r="K20">
        <f>VLOOKUP($A20,[1]FourFactors_and_Market_Returns_!$A$1:$F$388,K$1,FALSE)/100</f>
        <v>4.0811974221708304E-3</v>
      </c>
    </row>
    <row r="21" spans="1:11" x14ac:dyDescent="0.3">
      <c r="A21" t="s">
        <v>29</v>
      </c>
      <c r="B21">
        <v>2022</v>
      </c>
      <c r="C21">
        <v>6</v>
      </c>
      <c r="D21">
        <v>4.8161779596813843E-2</v>
      </c>
      <c r="E21">
        <v>-2.0986717078811491E-2</v>
      </c>
      <c r="F21">
        <v>-6.8888797783801838E-3</v>
      </c>
      <c r="G21">
        <f>VLOOKUP($A21,[1]FourFactors_and_Market_Returns_!$A$1:$F$388,G$1,FALSE)/100</f>
        <v>2.3258911291743601E-3</v>
      </c>
      <c r="H21">
        <f>VLOOKUP($A21,[1]FourFactors_and_Market_Returns_!$A$1:$F$388,H$1,FALSE)/100</f>
        <v>-2.9635810669667601E-2</v>
      </c>
      <c r="I21">
        <f>VLOOKUP($A21,[1]FourFactors_and_Market_Returns_!$A$1:$F$388,I$1,FALSE)/100</f>
        <v>1.63984333494589E-2</v>
      </c>
      <c r="J21">
        <f>VLOOKUP($A21,[1]FourFactors_and_Market_Returns_!$A$1:$F$388,J$1,FALSE)/100</f>
        <v>-4.9347778669585098E-2</v>
      </c>
      <c r="K21">
        <f>VLOOKUP($A21,[1]FourFactors_and_Market_Returns_!$A$1:$F$388,K$1,FALSE)/100</f>
        <v>4.0344207358800101E-3</v>
      </c>
    </row>
    <row r="22" spans="1:11" x14ac:dyDescent="0.3">
      <c r="A22" t="s">
        <v>30</v>
      </c>
      <c r="B22">
        <v>2022</v>
      </c>
      <c r="C22">
        <v>5</v>
      </c>
      <c r="D22">
        <v>-6.4275225618606074E-2</v>
      </c>
      <c r="E22">
        <v>-2.8561867421838749E-2</v>
      </c>
      <c r="F22">
        <v>-0.1191488828627713</v>
      </c>
      <c r="G22">
        <f>VLOOKUP($A22,[1]FourFactors_and_Market_Returns_!$A$1:$F$388,G$1,FALSE)/100</f>
        <v>-3.4991566105526804E-2</v>
      </c>
      <c r="H22">
        <f>VLOOKUP($A22,[1]FourFactors_and_Market_Returns_!$A$1:$F$388,H$1,FALSE)/100</f>
        <v>-2.3027347452362998E-2</v>
      </c>
      <c r="I22">
        <f>VLOOKUP($A22,[1]FourFactors_and_Market_Returns_!$A$1:$F$388,I$1,FALSE)/100</f>
        <v>-6.0504282273733494E-2</v>
      </c>
      <c r="J22">
        <f>VLOOKUP($A22,[1]FourFactors_and_Market_Returns_!$A$1:$F$388,J$1,FALSE)/100</f>
        <v>-6.5612817377003405E-2</v>
      </c>
      <c r="K22">
        <f>VLOOKUP($A22,[1]FourFactors_and_Market_Returns_!$A$1:$F$388,K$1,FALSE)/100</f>
        <v>3.9284837858015696E-3</v>
      </c>
    </row>
    <row r="23" spans="1:11" x14ac:dyDescent="0.3">
      <c r="A23" t="s">
        <v>31</v>
      </c>
      <c r="B23">
        <v>2022</v>
      </c>
      <c r="C23">
        <v>4</v>
      </c>
      <c r="D23">
        <v>5.7415668444290684E-3</v>
      </c>
      <c r="E23">
        <v>-1.495392873600334E-2</v>
      </c>
      <c r="F23">
        <v>-3.9307001294090552E-2</v>
      </c>
      <c r="G23">
        <f>VLOOKUP($A23,[1]FourFactors_and_Market_Returns_!$A$1:$F$388,G$1,FALSE)/100</f>
        <v>2.18108872434635E-2</v>
      </c>
      <c r="H23">
        <f>VLOOKUP($A23,[1]FourFactors_and_Market_Returns_!$A$1:$F$388,H$1,FALSE)/100</f>
        <v>4.3110937574941402E-2</v>
      </c>
      <c r="I23">
        <f>VLOOKUP($A23,[1]FourFactors_and_Market_Returns_!$A$1:$F$388,I$1,FALSE)/100</f>
        <v>-2.8991902373232698E-2</v>
      </c>
      <c r="J23">
        <f>VLOOKUP($A23,[1]FourFactors_and_Market_Returns_!$A$1:$F$388,J$1,FALSE)/100</f>
        <v>1.3974634023991199E-2</v>
      </c>
      <c r="K23">
        <f>VLOOKUP($A23,[1]FourFactors_and_Market_Returns_!$A$1:$F$388,K$1,FALSE)/100</f>
        <v>3.0598145461113702E-3</v>
      </c>
    </row>
    <row r="24" spans="1:11" x14ac:dyDescent="0.3">
      <c r="A24" t="s">
        <v>32</v>
      </c>
      <c r="B24">
        <v>2022</v>
      </c>
      <c r="C24">
        <v>3</v>
      </c>
      <c r="D24">
        <v>1.917695185105139E-2</v>
      </c>
      <c r="E24">
        <v>8.7382037523060632E-2</v>
      </c>
      <c r="F24">
        <v>3.6809706492580863E-2</v>
      </c>
      <c r="G24">
        <f>VLOOKUP($A24,[1]FourFactors_and_Market_Returns_!$A$1:$F$388,G$1,FALSE)/100</f>
        <v>2.05045471146241E-2</v>
      </c>
      <c r="H24">
        <f>VLOOKUP($A24,[1]FourFactors_and_Market_Returns_!$A$1:$F$388,H$1,FALSE)/100</f>
        <v>7.5516028700555208E-3</v>
      </c>
      <c r="I24">
        <f>VLOOKUP($A24,[1]FourFactors_and_Market_Returns_!$A$1:$F$388,I$1,FALSE)/100</f>
        <v>7.2174932850029599E-2</v>
      </c>
      <c r="J24">
        <f>VLOOKUP($A24,[1]FourFactors_and_Market_Returns_!$A$1:$F$388,J$1,FALSE)/100</f>
        <v>4.7006549890577398E-2</v>
      </c>
      <c r="K24">
        <f>VLOOKUP($A24,[1]FourFactors_and_Market_Returns_!$A$1:$F$388,K$1,FALSE)/100</f>
        <v>3.1509481784786097E-3</v>
      </c>
    </row>
    <row r="25" spans="1:11" x14ac:dyDescent="0.3">
      <c r="A25" t="s">
        <v>33</v>
      </c>
      <c r="B25">
        <v>2022</v>
      </c>
      <c r="C25">
        <v>2</v>
      </c>
      <c r="D25">
        <v>-7.8818615377629214E-2</v>
      </c>
      <c r="E25">
        <v>-0.12136822238925631</v>
      </c>
      <c r="F25">
        <v>-7.7297459849746453E-2</v>
      </c>
      <c r="G25">
        <f>VLOOKUP($A25,[1]FourFactors_and_Market_Returns_!$A$1:$F$388,G$1,FALSE)/100</f>
        <v>-6.8190389978933008E-2</v>
      </c>
      <c r="H25">
        <f>VLOOKUP($A25,[1]FourFactors_and_Market_Returns_!$A$1:$F$388,H$1,FALSE)/100</f>
        <v>-2.3061333039358201E-2</v>
      </c>
      <c r="I25">
        <f>VLOOKUP($A25,[1]FourFactors_and_Market_Returns_!$A$1:$F$388,I$1,FALSE)/100</f>
        <v>-1.62792236710648E-2</v>
      </c>
      <c r="J25">
        <f>VLOOKUP($A25,[1]FourFactors_and_Market_Returns_!$A$1:$F$388,J$1,FALSE)/100</f>
        <v>-4.3261588010989699E-2</v>
      </c>
      <c r="K25">
        <f>VLOOKUP($A25,[1]FourFactors_and_Market_Returns_!$A$1:$F$388,K$1,FALSE)/100</f>
        <v>2.8536075972196403E-3</v>
      </c>
    </row>
    <row r="26" spans="1:11" x14ac:dyDescent="0.3">
      <c r="A26" t="s">
        <v>34</v>
      </c>
      <c r="B26">
        <v>2022</v>
      </c>
      <c r="C26">
        <v>1</v>
      </c>
      <c r="D26">
        <v>-7.5126158213813729E-3</v>
      </c>
      <c r="E26">
        <v>6.555986477780858E-3</v>
      </c>
      <c r="F26">
        <v>-4.5820262194413923E-2</v>
      </c>
      <c r="G26">
        <f>VLOOKUP($A26,[1]FourFactors_and_Market_Returns_!$A$1:$F$388,G$1,FALSE)/100</f>
        <v>-6.8802951702300295E-3</v>
      </c>
      <c r="H26">
        <f>VLOOKUP($A26,[1]FourFactors_and_Market_Returns_!$A$1:$F$388,H$1,FALSE)/100</f>
        <v>0.108500673784868</v>
      </c>
      <c r="I26">
        <f>VLOOKUP($A26,[1]FourFactors_and_Market_Returns_!$A$1:$F$388,I$1,FALSE)/100</f>
        <v>-4.8329066651161502E-3</v>
      </c>
      <c r="J26">
        <f>VLOOKUP($A26,[1]FourFactors_and_Market_Returns_!$A$1:$F$388,J$1,FALSE)/100</f>
        <v>-1.5658632889265299E-2</v>
      </c>
      <c r="K26">
        <f>VLOOKUP($A26,[1]FourFactors_and_Market_Returns_!$A$1:$F$388,K$1,FALSE)/100</f>
        <v>3.0303333255301502E-3</v>
      </c>
    </row>
    <row r="27" spans="1:11" x14ac:dyDescent="0.3">
      <c r="A27" t="s">
        <v>35</v>
      </c>
      <c r="B27">
        <v>2021</v>
      </c>
      <c r="C27">
        <v>12</v>
      </c>
      <c r="D27">
        <v>1.2995596702742231E-2</v>
      </c>
      <c r="E27">
        <v>-1.5822367976335079E-2</v>
      </c>
      <c r="F27">
        <v>3.1112229254717721E-2</v>
      </c>
      <c r="G27">
        <f>VLOOKUP($A27,[1]FourFactors_and_Market_Returns_!$A$1:$F$388,G$1,FALSE)/100</f>
        <v>6.0407343437029602E-2</v>
      </c>
      <c r="H27">
        <f>VLOOKUP($A27,[1]FourFactors_and_Market_Returns_!$A$1:$F$388,H$1,FALSE)/100</f>
        <v>1.1310284123183401E-2</v>
      </c>
      <c r="I27">
        <f>VLOOKUP($A27,[1]FourFactors_and_Market_Returns_!$A$1:$F$388,I$1,FALSE)/100</f>
        <v>3.4924130921846402E-2</v>
      </c>
      <c r="J27">
        <f>VLOOKUP($A27,[1]FourFactors_and_Market_Returns_!$A$1:$F$388,J$1,FALSE)/100</f>
        <v>3.8301592457733499E-2</v>
      </c>
      <c r="K27">
        <f>VLOOKUP($A27,[1]FourFactors_and_Market_Returns_!$A$1:$F$388,K$1,FALSE)/100</f>
        <v>2.9796727850839298E-3</v>
      </c>
    </row>
    <row r="28" spans="1:11" x14ac:dyDescent="0.3">
      <c r="A28" t="s">
        <v>36</v>
      </c>
      <c r="B28">
        <v>2021</v>
      </c>
      <c r="C28">
        <v>11</v>
      </c>
      <c r="D28">
        <v>2.3691974151556331E-2</v>
      </c>
      <c r="E28">
        <v>3.4935300740686279E-2</v>
      </c>
      <c r="F28">
        <v>-3.2846064167151842E-2</v>
      </c>
      <c r="G28">
        <f>VLOOKUP($A28,[1]FourFactors_and_Market_Returns_!$A$1:$F$388,G$1,FALSE)/100</f>
        <v>2.0953484010920901E-2</v>
      </c>
      <c r="H28">
        <f>VLOOKUP($A28,[1]FourFactors_and_Market_Returns_!$A$1:$F$388,H$1,FALSE)/100</f>
        <v>-1.3514898054434099E-2</v>
      </c>
      <c r="I28">
        <f>VLOOKUP($A28,[1]FourFactors_and_Market_Returns_!$A$1:$F$388,I$1,FALSE)/100</f>
        <v>4.6910488738253403E-2</v>
      </c>
      <c r="J28">
        <f>VLOOKUP($A28,[1]FourFactors_and_Market_Returns_!$A$1:$F$388,J$1,FALSE)/100</f>
        <v>-9.5443508620058903E-3</v>
      </c>
      <c r="K28">
        <f>VLOOKUP($A28,[1]FourFactors_and_Market_Returns_!$A$1:$F$388,K$1,FALSE)/100</f>
        <v>3.0726726506566898E-3</v>
      </c>
    </row>
    <row r="29" spans="1:11" x14ac:dyDescent="0.3">
      <c r="A29" t="s">
        <v>37</v>
      </c>
      <c r="B29">
        <v>2021</v>
      </c>
      <c r="C29">
        <v>10</v>
      </c>
      <c r="D29">
        <v>-3.3520896253430559E-3</v>
      </c>
      <c r="E29">
        <v>1.4267726833019349E-2</v>
      </c>
      <c r="F29">
        <v>4.7939156432528773E-2</v>
      </c>
      <c r="G29">
        <f>VLOOKUP($A29,[1]FourFactors_and_Market_Returns_!$A$1:$F$388,G$1,FALSE)/100</f>
        <v>1.6854276683435601E-2</v>
      </c>
      <c r="H29">
        <f>VLOOKUP($A29,[1]FourFactors_and_Market_Returns_!$A$1:$F$388,H$1,FALSE)/100</f>
        <v>6.4668442294983893E-3</v>
      </c>
      <c r="I29">
        <f>VLOOKUP($A29,[1]FourFactors_and_Market_Returns_!$A$1:$F$388,I$1,FALSE)/100</f>
        <v>6.7480874977405195E-2</v>
      </c>
      <c r="J29">
        <f>VLOOKUP($A29,[1]FourFactors_and_Market_Returns_!$A$1:$F$388,J$1,FALSE)/100</f>
        <v>-1.13381680988276E-2</v>
      </c>
      <c r="K29">
        <f>VLOOKUP($A29,[1]FourFactors_and_Market_Returns_!$A$1:$F$388,K$1,FALSE)/100</f>
        <v>2.6969634872962001E-3</v>
      </c>
    </row>
    <row r="30" spans="1:11" x14ac:dyDescent="0.3">
      <c r="A30" t="s">
        <v>38</v>
      </c>
      <c r="B30">
        <v>2021</v>
      </c>
      <c r="C30">
        <v>9</v>
      </c>
      <c r="D30">
        <v>5.5419434643315203E-2</v>
      </c>
      <c r="E30">
        <v>2.8763611611620131E-2</v>
      </c>
      <c r="F30">
        <v>0.13138205459626009</v>
      </c>
      <c r="G30">
        <f>VLOOKUP($A30,[1]FourFactors_and_Market_Returns_!$A$1:$F$388,G$1,FALSE)/100</f>
        <v>-1.61460679442051E-2</v>
      </c>
      <c r="H30">
        <f>VLOOKUP($A30,[1]FourFactors_and_Market_Returns_!$A$1:$F$388,H$1,FALSE)/100</f>
        <v>0.103893828076939</v>
      </c>
      <c r="I30">
        <f>VLOOKUP($A30,[1]FourFactors_and_Market_Returns_!$A$1:$F$388,I$1,FALSE)/100</f>
        <v>-2.4761634180306299E-2</v>
      </c>
      <c r="J30">
        <f>VLOOKUP($A30,[1]FourFactors_and_Market_Returns_!$A$1:$F$388,J$1,FALSE)/100</f>
        <v>4.1871689189304097E-2</v>
      </c>
      <c r="K30">
        <f>VLOOKUP($A30,[1]FourFactors_and_Market_Returns_!$A$1:$F$388,K$1,FALSE)/100</f>
        <v>2.6783476395397798E-3</v>
      </c>
    </row>
    <row r="31" spans="1:11" x14ac:dyDescent="0.3">
      <c r="A31" t="s">
        <v>39</v>
      </c>
      <c r="B31">
        <v>2021</v>
      </c>
      <c r="C31">
        <v>8</v>
      </c>
      <c r="D31">
        <v>7.7375304575286616E-2</v>
      </c>
      <c r="E31">
        <v>-1.5224452171134341E-2</v>
      </c>
      <c r="F31">
        <v>4.4540027079751137E-3</v>
      </c>
      <c r="G31">
        <f>VLOOKUP($A31,[1]FourFactors_and_Market_Returns_!$A$1:$F$388,G$1,FALSE)/100</f>
        <v>-8.1047481407258301E-2</v>
      </c>
      <c r="H31">
        <f>VLOOKUP($A31,[1]FourFactors_and_Market_Returns_!$A$1:$F$388,H$1,FALSE)/100</f>
        <v>-7.1379151501241203E-2</v>
      </c>
      <c r="I31">
        <f>VLOOKUP($A31,[1]FourFactors_and_Market_Returns_!$A$1:$F$388,I$1,FALSE)/100</f>
        <v>2.8823317916023102E-2</v>
      </c>
      <c r="J31">
        <f>VLOOKUP($A31,[1]FourFactors_and_Market_Returns_!$A$1:$F$388,J$1,FALSE)/100</f>
        <v>5.6797858164454797E-2</v>
      </c>
      <c r="K31">
        <f>VLOOKUP($A31,[1]FourFactors_and_Market_Returns_!$A$1:$F$388,K$1,FALSE)/100</f>
        <v>2.8981422132603502E-3</v>
      </c>
    </row>
    <row r="32" spans="1:11" x14ac:dyDescent="0.3">
      <c r="A32" t="s">
        <v>40</v>
      </c>
      <c r="B32">
        <v>2021</v>
      </c>
      <c r="C32">
        <v>7</v>
      </c>
      <c r="D32">
        <v>-2.468242765513573E-2</v>
      </c>
      <c r="E32">
        <v>5.4209178953221566E-3</v>
      </c>
      <c r="F32">
        <v>-4.4831527543314889E-2</v>
      </c>
      <c r="G32">
        <f>VLOOKUP($A32,[1]FourFactors_and_Market_Returns_!$A$1:$F$388,G$1,FALSE)/100</f>
        <v>5.2968552158752596E-2</v>
      </c>
      <c r="H32">
        <f>VLOOKUP($A32,[1]FourFactors_and_Market_Returns_!$A$1:$F$388,H$1,FALSE)/100</f>
        <v>7.1290449105865891E-2</v>
      </c>
      <c r="I32">
        <f>VLOOKUP($A32,[1]FourFactors_and_Market_Returns_!$A$1:$F$388,I$1,FALSE)/100</f>
        <v>3.9149661437329702E-2</v>
      </c>
      <c r="J32">
        <f>VLOOKUP($A32,[1]FourFactors_and_Market_Returns_!$A$1:$F$388,J$1,FALSE)/100</f>
        <v>1.7369322709816198E-2</v>
      </c>
      <c r="K32">
        <f>VLOOKUP($A32,[1]FourFactors_and_Market_Returns_!$A$1:$F$388,K$1,FALSE)/100</f>
        <v>2.77557691069497E-3</v>
      </c>
    </row>
    <row r="33" spans="1:11" x14ac:dyDescent="0.3">
      <c r="A33" t="s">
        <v>41</v>
      </c>
      <c r="B33">
        <v>2021</v>
      </c>
      <c r="C33">
        <v>6</v>
      </c>
      <c r="D33">
        <v>6.9611065592136159E-2</v>
      </c>
      <c r="E33">
        <v>6.8289591708819639E-2</v>
      </c>
      <c r="F33">
        <v>2.176096067199635E-2</v>
      </c>
      <c r="G33">
        <f>VLOOKUP($A33,[1]FourFactors_and_Market_Returns_!$A$1:$F$388,G$1,FALSE)/100</f>
        <v>7.8133589421519198E-2</v>
      </c>
      <c r="H33">
        <f>VLOOKUP($A33,[1]FourFactors_and_Market_Returns_!$A$1:$F$388,H$1,FALSE)/100</f>
        <v>4.3821413231884196E-2</v>
      </c>
      <c r="I33">
        <f>VLOOKUP($A33,[1]FourFactors_and_Market_Returns_!$A$1:$F$388,I$1,FALSE)/100</f>
        <v>-1.6724746812787503E-2</v>
      </c>
      <c r="J33">
        <f>VLOOKUP($A33,[1]FourFactors_and_Market_Returns_!$A$1:$F$388,J$1,FALSE)/100</f>
        <v>3.0546572057172303E-2</v>
      </c>
      <c r="K33">
        <f>VLOOKUP($A33,[1]FourFactors_and_Market_Returns_!$A$1:$F$388,K$1,FALSE)/100</f>
        <v>2.7783930154163801E-3</v>
      </c>
    </row>
    <row r="34" spans="1:11" x14ac:dyDescent="0.3">
      <c r="A34" t="s">
        <v>42</v>
      </c>
      <c r="B34">
        <v>2021</v>
      </c>
      <c r="C34">
        <v>5</v>
      </c>
      <c r="D34">
        <v>-1.568839888962828E-2</v>
      </c>
      <c r="E34">
        <v>8.3109797804922954E-3</v>
      </c>
      <c r="F34">
        <v>-7.8422020856423382E-3</v>
      </c>
      <c r="G34">
        <f>VLOOKUP($A34,[1]FourFactors_and_Market_Returns_!$A$1:$F$388,G$1,FALSE)/100</f>
        <v>5.1217180892495696E-2</v>
      </c>
      <c r="H34">
        <f>VLOOKUP($A34,[1]FourFactors_and_Market_Returns_!$A$1:$F$388,H$1,FALSE)/100</f>
        <v>2.3088182636932002E-2</v>
      </c>
      <c r="I34">
        <f>VLOOKUP($A34,[1]FourFactors_and_Market_Returns_!$A$1:$F$388,I$1,FALSE)/100</f>
        <v>2.1200916469419403E-3</v>
      </c>
      <c r="J34">
        <f>VLOOKUP($A34,[1]FourFactors_and_Market_Returns_!$A$1:$F$388,J$1,FALSE)/100</f>
        <v>7.4275526008836093E-2</v>
      </c>
      <c r="K34">
        <f>VLOOKUP($A34,[1]FourFactors_and_Market_Returns_!$A$1:$F$388,K$1,FALSE)/100</f>
        <v>2.80830449972647E-3</v>
      </c>
    </row>
    <row r="35" spans="1:11" x14ac:dyDescent="0.3">
      <c r="A35" t="s">
        <v>43</v>
      </c>
      <c r="B35">
        <v>2021</v>
      </c>
      <c r="C35">
        <v>4</v>
      </c>
      <c r="D35">
        <v>-1.733022738609384E-3</v>
      </c>
      <c r="E35">
        <v>3.2292459568548697E-2</v>
      </c>
      <c r="F35">
        <v>4.0872620835783642E-2</v>
      </c>
      <c r="G35">
        <f>VLOOKUP($A35,[1]FourFactors_and_Market_Returns_!$A$1:$F$388,G$1,FALSE)/100</f>
        <v>6.8645387695498404E-3</v>
      </c>
      <c r="H35">
        <f>VLOOKUP($A35,[1]FourFactors_and_Market_Returns_!$A$1:$F$388,H$1,FALSE)/100</f>
        <v>0.105584423335864</v>
      </c>
      <c r="I35">
        <f>VLOOKUP($A35,[1]FourFactors_and_Market_Returns_!$A$1:$F$388,I$1,FALSE)/100</f>
        <v>5.7965950344661198E-2</v>
      </c>
      <c r="J35">
        <f>VLOOKUP($A35,[1]FourFactors_and_Market_Returns_!$A$1:$F$388,J$1,FALSE)/100</f>
        <v>1.4509421829481901E-2</v>
      </c>
      <c r="K35">
        <f>VLOOKUP($A35,[1]FourFactors_and_Market_Returns_!$A$1:$F$388,K$1,FALSE)/100</f>
        <v>2.7000609337965997E-3</v>
      </c>
    </row>
    <row r="36" spans="1:11" x14ac:dyDescent="0.3">
      <c r="A36" t="s">
        <v>44</v>
      </c>
      <c r="B36">
        <v>2021</v>
      </c>
      <c r="C36">
        <v>3</v>
      </c>
      <c r="D36">
        <v>-3.0409933486121352E-2</v>
      </c>
      <c r="E36">
        <v>-5.1705591890406577E-2</v>
      </c>
      <c r="F36">
        <v>-4.8834421082333997E-2</v>
      </c>
      <c r="G36">
        <f>VLOOKUP($A36,[1]FourFactors_and_Market_Returns_!$A$1:$F$388,G$1,FALSE)/100</f>
        <v>-2.6946604635753803E-2</v>
      </c>
      <c r="H36">
        <f>VLOOKUP($A36,[1]FourFactors_and_Market_Returns_!$A$1:$F$388,H$1,FALSE)/100</f>
        <v>-1.9274214381645699E-2</v>
      </c>
      <c r="I36">
        <f>VLOOKUP($A36,[1]FourFactors_and_Market_Returns_!$A$1:$F$388,I$1,FALSE)/100</f>
        <v>3.49484287439559E-2</v>
      </c>
      <c r="J36">
        <f>VLOOKUP($A36,[1]FourFactors_and_Market_Returns_!$A$1:$F$388,J$1,FALSE)/100</f>
        <v>2.9889286315414498E-2</v>
      </c>
      <c r="K36">
        <f>VLOOKUP($A36,[1]FourFactors_and_Market_Returns_!$A$1:$F$388,K$1,FALSE)/100</f>
        <v>2.8979918506042402E-3</v>
      </c>
    </row>
    <row r="37" spans="1:11" x14ac:dyDescent="0.3">
      <c r="A37" t="s">
        <v>45</v>
      </c>
      <c r="B37">
        <v>2021</v>
      </c>
      <c r="C37">
        <v>2</v>
      </c>
      <c r="D37">
        <v>-3.567466523316596E-2</v>
      </c>
      <c r="E37">
        <v>-4.3780218392860247E-2</v>
      </c>
      <c r="F37">
        <v>-2.758716432266967E-2</v>
      </c>
      <c r="G37">
        <f>VLOOKUP($A37,[1]FourFactors_and_Market_Returns_!$A$1:$F$388,G$1,FALSE)/100</f>
        <v>-3.7331547996922503E-2</v>
      </c>
      <c r="H37">
        <f>VLOOKUP($A37,[1]FourFactors_and_Market_Returns_!$A$1:$F$388,H$1,FALSE)/100</f>
        <v>0.113499060444245</v>
      </c>
      <c r="I37">
        <f>VLOOKUP($A37,[1]FourFactors_and_Market_Returns_!$A$1:$F$388,I$1,FALSE)/100</f>
        <v>2.7685560440564999E-2</v>
      </c>
      <c r="J37">
        <f>VLOOKUP($A37,[1]FourFactors_and_Market_Returns_!$A$1:$F$388,J$1,FALSE)/100</f>
        <v>6.2097396862584003E-2</v>
      </c>
      <c r="K37">
        <f>VLOOKUP($A37,[1]FourFactors_and_Market_Returns_!$A$1:$F$388,K$1,FALSE)/100</f>
        <v>2.4891893255252202E-3</v>
      </c>
    </row>
    <row r="38" spans="1:11" x14ac:dyDescent="0.3">
      <c r="A38" t="s">
        <v>46</v>
      </c>
      <c r="B38">
        <v>2021</v>
      </c>
      <c r="C38">
        <v>1</v>
      </c>
      <c r="D38">
        <v>-1.3966707662317741E-2</v>
      </c>
      <c r="E38">
        <v>-6.3827271242184153E-2</v>
      </c>
      <c r="F38">
        <v>-5.6686074712234323E-2</v>
      </c>
      <c r="G38">
        <f>VLOOKUP($A38,[1]FourFactors_and_Market_Returns_!$A$1:$F$388,G$1,FALSE)/100</f>
        <v>5.9219513052146703E-3</v>
      </c>
      <c r="H38">
        <f>VLOOKUP($A38,[1]FourFactors_and_Market_Returns_!$A$1:$F$388,H$1,FALSE)/100</f>
        <v>-2.5540175890501803E-2</v>
      </c>
      <c r="I38">
        <f>VLOOKUP($A38,[1]FourFactors_and_Market_Returns_!$A$1:$F$388,I$1,FALSE)/100</f>
        <v>-1.7755214323820899E-2</v>
      </c>
      <c r="J38">
        <f>VLOOKUP($A38,[1]FourFactors_and_Market_Returns_!$A$1:$F$388,J$1,FALSE)/100</f>
        <v>-7.8431175679141204E-3</v>
      </c>
      <c r="K38">
        <f>VLOOKUP($A38,[1]FourFactors_and_Market_Returns_!$A$1:$F$388,K$1,FALSE)/100</f>
        <v>2.5002724438381004E-3</v>
      </c>
    </row>
    <row r="39" spans="1:11" x14ac:dyDescent="0.3">
      <c r="A39" t="s">
        <v>47</v>
      </c>
      <c r="B39">
        <v>2020</v>
      </c>
      <c r="C39">
        <v>12</v>
      </c>
      <c r="D39">
        <v>-1.3709740983847789E-2</v>
      </c>
      <c r="E39">
        <v>8.2621822545940124E-2</v>
      </c>
      <c r="F39">
        <v>6.7959116686001048E-2</v>
      </c>
      <c r="G39">
        <f>VLOOKUP($A39,[1]FourFactors_and_Market_Returns_!$A$1:$F$388,G$1,FALSE)/100</f>
        <v>1.83052873077389E-2</v>
      </c>
      <c r="H39">
        <f>VLOOKUP($A39,[1]FourFactors_and_Market_Returns_!$A$1:$F$388,H$1,FALSE)/100</f>
        <v>0.10279458465920399</v>
      </c>
      <c r="I39">
        <f>VLOOKUP($A39,[1]FourFactors_and_Market_Returns_!$A$1:$F$388,I$1,FALSE)/100</f>
        <v>-3.7509731931335201E-2</v>
      </c>
      <c r="J39">
        <f>VLOOKUP($A39,[1]FourFactors_and_Market_Returns_!$A$1:$F$388,J$1,FALSE)/100</f>
        <v>8.0528510174735501E-2</v>
      </c>
      <c r="K39">
        <f>VLOOKUP($A39,[1]FourFactors_and_Market_Returns_!$A$1:$F$388,K$1,FALSE)/100</f>
        <v>2.8213202118609897E-3</v>
      </c>
    </row>
    <row r="40" spans="1:11" x14ac:dyDescent="0.3">
      <c r="A40" t="s">
        <v>48</v>
      </c>
      <c r="B40">
        <v>2020</v>
      </c>
      <c r="C40">
        <v>11</v>
      </c>
      <c r="D40">
        <v>-3.7814900890423539E-2</v>
      </c>
      <c r="E40">
        <v>-6.8541045550073783E-6</v>
      </c>
      <c r="F40">
        <v>4.3497329595770962E-2</v>
      </c>
      <c r="G40">
        <f>VLOOKUP($A40,[1]FourFactors_and_Market_Returns_!$A$1:$F$388,G$1,FALSE)/100</f>
        <v>-3.4368114793990497E-2</v>
      </c>
      <c r="H40">
        <f>VLOOKUP($A40,[1]FourFactors_and_Market_Returns_!$A$1:$F$388,H$1,FALSE)/100</f>
        <v>0.100669733339524</v>
      </c>
      <c r="I40">
        <f>VLOOKUP($A40,[1]FourFactors_and_Market_Returns_!$A$1:$F$388,I$1,FALSE)/100</f>
        <v>-8.1988202489499007E-2</v>
      </c>
      <c r="J40">
        <f>VLOOKUP($A40,[1]FourFactors_and_Market_Returns_!$A$1:$F$388,J$1,FALSE)/100</f>
        <v>7.0189823014477307E-2</v>
      </c>
      <c r="K40">
        <f>VLOOKUP($A40,[1]FourFactors_and_Market_Returns_!$A$1:$F$388,K$1,FALSE)/100</f>
        <v>2.3462807507796902E-3</v>
      </c>
    </row>
    <row r="41" spans="1:11" x14ac:dyDescent="0.3">
      <c r="A41" t="s">
        <v>49</v>
      </c>
      <c r="B41">
        <v>2020</v>
      </c>
      <c r="C41">
        <v>10</v>
      </c>
      <c r="D41">
        <v>8.5127606772190528E-2</v>
      </c>
      <c r="E41">
        <v>5.685161775074337E-2</v>
      </c>
      <c r="F41">
        <v>8.6307939476388568E-2</v>
      </c>
      <c r="G41">
        <f>VLOOKUP($A41,[1]FourFactors_and_Market_Returns_!$A$1:$F$388,G$1,FALSE)/100</f>
        <v>3.2518116398394499E-3</v>
      </c>
      <c r="H41">
        <f>VLOOKUP($A41,[1]FourFactors_and_Market_Returns_!$A$1:$F$388,H$1,FALSE)/100</f>
        <v>-1.4507090239521301E-2</v>
      </c>
      <c r="I41">
        <f>VLOOKUP($A41,[1]FourFactors_and_Market_Returns_!$A$1:$F$388,I$1,FALSE)/100</f>
        <v>-1.6434645607726901E-3</v>
      </c>
      <c r="J41">
        <f>VLOOKUP($A41,[1]FourFactors_and_Market_Returns_!$A$1:$F$388,J$1,FALSE)/100</f>
        <v>4.1858925832121106E-3</v>
      </c>
      <c r="K41">
        <f>VLOOKUP($A41,[1]FourFactors_and_Market_Returns_!$A$1:$F$388,K$1,FALSE)/100</f>
        <v>2.6405836827296802E-3</v>
      </c>
    </row>
    <row r="42" spans="1:11" x14ac:dyDescent="0.3">
      <c r="A42" t="s">
        <v>50</v>
      </c>
      <c r="B42">
        <v>2020</v>
      </c>
      <c r="C42">
        <v>9</v>
      </c>
      <c r="D42">
        <v>5.563913981042997E-2</v>
      </c>
      <c r="E42">
        <v>-1.9597545821233981E-2</v>
      </c>
      <c r="F42">
        <v>3.5921853551640973E-2</v>
      </c>
      <c r="G42">
        <f>VLOOKUP($A42,[1]FourFactors_and_Market_Returns_!$A$1:$F$388,G$1,FALSE)/100</f>
        <v>2.6791907307930799E-2</v>
      </c>
      <c r="H42">
        <f>VLOOKUP($A42,[1]FourFactors_and_Market_Returns_!$A$1:$F$388,H$1,FALSE)/100</f>
        <v>-8.4030176725732902E-2</v>
      </c>
      <c r="I42">
        <f>VLOOKUP($A42,[1]FourFactors_and_Market_Returns_!$A$1:$F$388,I$1,FALSE)/100</f>
        <v>9.1008235150122907E-2</v>
      </c>
      <c r="J42">
        <f>VLOOKUP($A42,[1]FourFactors_and_Market_Returns_!$A$1:$F$388,J$1,FALSE)/100</f>
        <v>2.23664316875429E-2</v>
      </c>
      <c r="K42">
        <f>VLOOKUP($A42,[1]FourFactors_and_Market_Returns_!$A$1:$F$388,K$1,FALSE)/100</f>
        <v>2.6483947262991902E-3</v>
      </c>
    </row>
    <row r="43" spans="1:11" x14ac:dyDescent="0.3">
      <c r="A43" t="s">
        <v>51</v>
      </c>
      <c r="B43">
        <v>2020</v>
      </c>
      <c r="C43">
        <v>8</v>
      </c>
      <c r="D43">
        <v>0.1099112585080082</v>
      </c>
      <c r="E43">
        <v>0.12236937595358929</v>
      </c>
      <c r="F43">
        <v>9.8799667242557981E-2</v>
      </c>
      <c r="G43">
        <f>VLOOKUP($A43,[1]FourFactors_and_Market_Returns_!$A$1:$F$388,G$1,FALSE)/100</f>
        <v>7.2068672088375904E-2</v>
      </c>
      <c r="H43">
        <f>VLOOKUP($A43,[1]FourFactors_and_Market_Returns_!$A$1:$F$388,H$1,FALSE)/100</f>
        <v>4.95276675777023E-2</v>
      </c>
      <c r="I43">
        <f>VLOOKUP($A43,[1]FourFactors_and_Market_Returns_!$A$1:$F$388,I$1,FALSE)/100</f>
        <v>-8.3812357336178298E-2</v>
      </c>
      <c r="J43">
        <f>VLOOKUP($A43,[1]FourFactors_and_Market_Returns_!$A$1:$F$388,J$1,FALSE)/100</f>
        <v>3.1318189166445104E-2</v>
      </c>
      <c r="K43">
        <f>VLOOKUP($A43,[1]FourFactors_and_Market_Returns_!$A$1:$F$388,K$1,FALSE)/100</f>
        <v>2.7133853865308798E-3</v>
      </c>
    </row>
    <row r="44" spans="1:11" x14ac:dyDescent="0.3">
      <c r="A44" t="s">
        <v>52</v>
      </c>
      <c r="B44">
        <v>2020</v>
      </c>
      <c r="C44">
        <v>7</v>
      </c>
      <c r="D44">
        <v>1.7848812943430829E-2</v>
      </c>
      <c r="E44">
        <v>5.5195496639902558E-2</v>
      </c>
      <c r="F44">
        <v>5.3315362734257479E-2</v>
      </c>
      <c r="G44">
        <f>VLOOKUP($A44,[1]FourFactors_and_Market_Returns_!$A$1:$F$388,G$1,FALSE)/100</f>
        <v>-2.9890769587299002E-2</v>
      </c>
      <c r="H44">
        <f>VLOOKUP($A44,[1]FourFactors_and_Market_Returns_!$A$1:$F$388,H$1,FALSE)/100</f>
        <v>-4.2776346570017901E-2</v>
      </c>
      <c r="I44">
        <f>VLOOKUP($A44,[1]FourFactors_and_Market_Returns_!$A$1:$F$388,I$1,FALSE)/100</f>
        <v>4.3414782042244103E-2</v>
      </c>
      <c r="J44">
        <f>VLOOKUP($A44,[1]FourFactors_and_Market_Returns_!$A$1:$F$388,J$1,FALSE)/100</f>
        <v>7.1065474560254596E-2</v>
      </c>
      <c r="K44">
        <f>VLOOKUP($A44,[1]FourFactors_and_Market_Returns_!$A$1:$F$388,K$1,FALSE)/100</f>
        <v>2.6800042830907901E-3</v>
      </c>
    </row>
    <row r="45" spans="1:11" x14ac:dyDescent="0.3">
      <c r="A45" t="s">
        <v>53</v>
      </c>
      <c r="B45">
        <v>2020</v>
      </c>
      <c r="C45">
        <v>6</v>
      </c>
      <c r="D45">
        <v>1.0724214285291011E-2</v>
      </c>
      <c r="E45">
        <v>2.9349498164705098E-2</v>
      </c>
      <c r="F45">
        <v>6.1683622122411207E-2</v>
      </c>
      <c r="G45">
        <f>VLOOKUP($A45,[1]FourFactors_and_Market_Returns_!$A$1:$F$388,G$1,FALSE)/100</f>
        <v>8.8769795097260615E-2</v>
      </c>
      <c r="H45">
        <f>VLOOKUP($A45,[1]FourFactors_and_Market_Returns_!$A$1:$F$388,H$1,FALSE)/100</f>
        <v>0.13614091674074399</v>
      </c>
      <c r="I45">
        <f>VLOOKUP($A45,[1]FourFactors_and_Market_Returns_!$A$1:$F$388,I$1,FALSE)/100</f>
        <v>-5.8271184342332402E-2</v>
      </c>
      <c r="J45">
        <f>VLOOKUP($A45,[1]FourFactors_and_Market_Returns_!$A$1:$F$388,J$1,FALSE)/100</f>
        <v>7.72021315126976E-2</v>
      </c>
      <c r="K45">
        <f>VLOOKUP($A45,[1]FourFactors_and_Market_Returns_!$A$1:$F$388,K$1,FALSE)/100</f>
        <v>2.84541423862539E-3</v>
      </c>
    </row>
    <row r="46" spans="1:11" x14ac:dyDescent="0.3">
      <c r="A46" t="s">
        <v>54</v>
      </c>
      <c r="B46">
        <v>2020</v>
      </c>
      <c r="C46">
        <v>5</v>
      </c>
      <c r="D46">
        <v>-1.924938840095803E-3</v>
      </c>
      <c r="E46">
        <v>1.2498692953134421E-2</v>
      </c>
      <c r="F46">
        <v>2.7032213157494371E-2</v>
      </c>
      <c r="G46">
        <f>VLOOKUP($A46,[1]FourFactors_and_Market_Returns_!$A$1:$F$388,G$1,FALSE)/100</f>
        <v>-4.8460103660532099E-2</v>
      </c>
      <c r="H46">
        <f>VLOOKUP($A46,[1]FourFactors_and_Market_Returns_!$A$1:$F$388,H$1,FALSE)/100</f>
        <v>1.02427436565951E-2</v>
      </c>
      <c r="I46">
        <f>VLOOKUP($A46,[1]FourFactors_and_Market_Returns_!$A$1:$F$388,I$1,FALSE)/100</f>
        <v>9.5953069178060808E-3</v>
      </c>
      <c r="J46">
        <f>VLOOKUP($A46,[1]FourFactors_and_Market_Returns_!$A$1:$F$388,J$1,FALSE)/100</f>
        <v>4.8871049140519797E-3</v>
      </c>
      <c r="K46">
        <f>VLOOKUP($A46,[1]FourFactors_and_Market_Returns_!$A$1:$F$388,K$1,FALSE)/100</f>
        <v>2.7037464767023498E-3</v>
      </c>
    </row>
    <row r="47" spans="1:11" x14ac:dyDescent="0.3">
      <c r="A47" t="s">
        <v>55</v>
      </c>
      <c r="B47">
        <v>2020</v>
      </c>
      <c r="C47">
        <v>4</v>
      </c>
      <c r="D47">
        <v>-3.2759127270439621E-2</v>
      </c>
      <c r="E47">
        <v>-4.164479079240091E-2</v>
      </c>
      <c r="F47">
        <v>-0.12537296655451019</v>
      </c>
      <c r="G47">
        <f>VLOOKUP($A47,[1]FourFactors_and_Market_Returns_!$A$1:$F$388,G$1,FALSE)/100</f>
        <v>1.9697767561202201E-2</v>
      </c>
      <c r="H47">
        <f>VLOOKUP($A47,[1]FourFactors_and_Market_Returns_!$A$1:$F$388,H$1,FALSE)/100</f>
        <v>7.1200054526719694E-2</v>
      </c>
      <c r="I47">
        <f>VLOOKUP($A47,[1]FourFactors_and_Market_Returns_!$A$1:$F$388,I$1,FALSE)/100</f>
        <v>-0.13484765144501298</v>
      </c>
      <c r="J47">
        <f>VLOOKUP($A47,[1]FourFactors_and_Market_Returns_!$A$1:$F$388,J$1,FALSE)/100</f>
        <v>0.13884991081058701</v>
      </c>
      <c r="K47">
        <f>VLOOKUP($A47,[1]FourFactors_and_Market_Returns_!$A$1:$F$388,K$1,FALSE)/100</f>
        <v>3.3253971527351699E-3</v>
      </c>
    </row>
    <row r="48" spans="1:11" x14ac:dyDescent="0.3">
      <c r="A48" t="s">
        <v>56</v>
      </c>
      <c r="B48">
        <v>2020</v>
      </c>
      <c r="C48">
        <v>3</v>
      </c>
      <c r="D48">
        <v>2.3288017127499571E-2</v>
      </c>
      <c r="E48">
        <v>1.5284190960787531E-2</v>
      </c>
      <c r="F48">
        <v>1.9805370850159269E-2</v>
      </c>
      <c r="G48">
        <f>VLOOKUP($A48,[1]FourFactors_and_Market_Returns_!$A$1:$F$388,G$1,FALSE)/100</f>
        <v>-0.14088354874020101</v>
      </c>
      <c r="H48">
        <f>VLOOKUP($A48,[1]FourFactors_and_Market_Returns_!$A$1:$F$388,H$1,FALSE)/100</f>
        <v>-8.2935748825358799E-2</v>
      </c>
      <c r="I48">
        <f>VLOOKUP($A48,[1]FourFactors_and_Market_Returns_!$A$1:$F$388,I$1,FALSE)/100</f>
        <v>0.137662365228124</v>
      </c>
      <c r="J48">
        <f>VLOOKUP($A48,[1]FourFactors_and_Market_Returns_!$A$1:$F$388,J$1,FALSE)/100</f>
        <v>-0.188097797156518</v>
      </c>
      <c r="K48">
        <f>VLOOKUP($A48,[1]FourFactors_and_Market_Returns_!$A$1:$F$388,K$1,FALSE)/100</f>
        <v>4.2506441592598003E-3</v>
      </c>
    </row>
    <row r="49" spans="1:11" x14ac:dyDescent="0.3">
      <c r="A49" t="s">
        <v>57</v>
      </c>
      <c r="B49">
        <v>2020</v>
      </c>
      <c r="C49">
        <v>2</v>
      </c>
      <c r="D49">
        <v>-1.2657659156682891E-2</v>
      </c>
      <c r="E49">
        <v>6.5562842023395046E-2</v>
      </c>
      <c r="F49">
        <v>6.385625143846993E-2</v>
      </c>
      <c r="G49">
        <f>VLOOKUP($A49,[1]FourFactors_and_Market_Returns_!$A$1:$F$388,G$1,FALSE)/100</f>
        <v>-8.0557542241559404E-3</v>
      </c>
      <c r="H49">
        <f>VLOOKUP($A49,[1]FourFactors_and_Market_Returns_!$A$1:$F$388,H$1,FALSE)/100</f>
        <v>-9.3678880294403188E-2</v>
      </c>
      <c r="I49">
        <f>VLOOKUP($A49,[1]FourFactors_and_Market_Returns_!$A$1:$F$388,I$1,FALSE)/100</f>
        <v>0.10858992928962101</v>
      </c>
      <c r="J49">
        <f>VLOOKUP($A49,[1]FourFactors_and_Market_Returns_!$A$1:$F$388,J$1,FALSE)/100</f>
        <v>-6.3181009071994296E-2</v>
      </c>
      <c r="K49">
        <f>VLOOKUP($A49,[1]FourFactors_and_Market_Returns_!$A$1:$F$388,K$1,FALSE)/100</f>
        <v>3.8184257328353101E-3</v>
      </c>
    </row>
    <row r="50" spans="1:11" x14ac:dyDescent="0.3">
      <c r="A50" t="s">
        <v>58</v>
      </c>
      <c r="B50">
        <v>2020</v>
      </c>
      <c r="C50">
        <v>1</v>
      </c>
      <c r="D50">
        <v>2.2206423116135559E-2</v>
      </c>
      <c r="E50">
        <v>1.322017026439005E-2</v>
      </c>
      <c r="F50">
        <v>6.8459352110334895E-2</v>
      </c>
      <c r="G50">
        <f>VLOOKUP($A50,[1]FourFactors_and_Market_Returns_!$A$1:$F$388,G$1,FALSE)/100</f>
        <v>8.895496514149491E-2</v>
      </c>
      <c r="H50">
        <f>VLOOKUP($A50,[1]FourFactors_and_Market_Returns_!$A$1:$F$388,H$1,FALSE)/100</f>
        <v>-3.0257788199520599E-2</v>
      </c>
      <c r="I50">
        <f>VLOOKUP($A50,[1]FourFactors_and_Market_Returns_!$A$1:$F$388,I$1,FALSE)/100</f>
        <v>7.885345822916669E-3</v>
      </c>
      <c r="J50">
        <f>VLOOKUP($A50,[1]FourFactors_and_Market_Returns_!$A$1:$F$388,J$1,FALSE)/100</f>
        <v>9.0471867789925203E-3</v>
      </c>
      <c r="K50">
        <f>VLOOKUP($A50,[1]FourFactors_and_Market_Returns_!$A$1:$F$388,K$1,FALSE)/100</f>
        <v>4.2019084749509404E-3</v>
      </c>
    </row>
    <row r="51" spans="1:11" x14ac:dyDescent="0.3">
      <c r="A51" t="s">
        <v>59</v>
      </c>
      <c r="B51">
        <v>2019</v>
      </c>
      <c r="C51">
        <v>12</v>
      </c>
      <c r="D51">
        <v>3.7488699613717737E-2</v>
      </c>
      <c r="E51">
        <v>2.344566173524542E-2</v>
      </c>
      <c r="F51">
        <v>8.071199595792139E-3</v>
      </c>
      <c r="G51">
        <f>VLOOKUP($A51,[1]FourFactors_and_Market_Returns_!$A$1:$F$388,G$1,FALSE)/100</f>
        <v>-1.1386790450480199E-2</v>
      </c>
      <c r="H51">
        <f>VLOOKUP($A51,[1]FourFactors_and_Market_Returns_!$A$1:$F$388,H$1,FALSE)/100</f>
        <v>-6.9431465068847708E-4</v>
      </c>
      <c r="I51">
        <f>VLOOKUP($A51,[1]FourFactors_and_Market_Returns_!$A$1:$F$388,I$1,FALSE)/100</f>
        <v>1.9477135821286198E-2</v>
      </c>
      <c r="J51">
        <f>VLOOKUP($A51,[1]FourFactors_and_Market_Returns_!$A$1:$F$388,J$1,FALSE)/100</f>
        <v>-2.8237569702772602E-3</v>
      </c>
      <c r="K51">
        <f>VLOOKUP($A51,[1]FourFactors_and_Market_Returns_!$A$1:$F$388,K$1,FALSE)/100</f>
        <v>4.2672589180961003E-3</v>
      </c>
    </row>
    <row r="52" spans="1:11" x14ac:dyDescent="0.3">
      <c r="A52" t="s">
        <v>60</v>
      </c>
      <c r="B52">
        <v>2019</v>
      </c>
      <c r="C52">
        <v>11</v>
      </c>
      <c r="D52">
        <v>1.9198252935469839E-2</v>
      </c>
      <c r="E52">
        <v>-2.5684887471711659E-3</v>
      </c>
      <c r="F52">
        <v>-1.0101882741757721E-2</v>
      </c>
      <c r="G52">
        <f>VLOOKUP($A52,[1]FourFactors_and_Market_Returns_!$A$1:$F$388,G$1,FALSE)/100</f>
        <v>-3.2600404090436998E-2</v>
      </c>
      <c r="H52">
        <f>VLOOKUP($A52,[1]FourFactors_and_Market_Returns_!$A$1:$F$388,H$1,FALSE)/100</f>
        <v>5.0560957113033905E-2</v>
      </c>
      <c r="I52">
        <f>VLOOKUP($A52,[1]FourFactors_and_Market_Returns_!$A$1:$F$388,I$1,FALSE)/100</f>
        <v>-8.890504848309741E-2</v>
      </c>
      <c r="J52">
        <f>VLOOKUP($A52,[1]FourFactors_and_Market_Returns_!$A$1:$F$388,J$1,FALSE)/100</f>
        <v>-1.8626988803340599E-2</v>
      </c>
      <c r="K52">
        <f>VLOOKUP($A52,[1]FourFactors_and_Market_Returns_!$A$1:$F$388,K$1,FALSE)/100</f>
        <v>3.9055338625040297E-3</v>
      </c>
    </row>
    <row r="53" spans="1:11" x14ac:dyDescent="0.3">
      <c r="A53" t="s">
        <v>61</v>
      </c>
      <c r="B53">
        <v>2019</v>
      </c>
      <c r="C53">
        <v>10</v>
      </c>
      <c r="D53">
        <v>-2.8750710026636522E-2</v>
      </c>
      <c r="E53">
        <v>2.410059287674619E-2</v>
      </c>
      <c r="F53">
        <v>7.6233962588556411E-3</v>
      </c>
      <c r="G53">
        <f>VLOOKUP($A53,[1]FourFactors_and_Market_Returns_!$A$1:$F$388,G$1,FALSE)/100</f>
        <v>-3.28587185432717E-2</v>
      </c>
      <c r="H53">
        <f>VLOOKUP($A53,[1]FourFactors_and_Market_Returns_!$A$1:$F$388,H$1,FALSE)/100</f>
        <v>-2.3597479594032099E-2</v>
      </c>
      <c r="I53">
        <f>VLOOKUP($A53,[1]FourFactors_and_Market_Returns_!$A$1:$F$388,I$1,FALSE)/100</f>
        <v>5.47190414230301E-2</v>
      </c>
      <c r="J53">
        <f>VLOOKUP($A53,[1]FourFactors_and_Market_Returns_!$A$1:$F$388,J$1,FALSE)/100</f>
        <v>4.0318577531801798E-2</v>
      </c>
      <c r="K53">
        <f>VLOOKUP($A53,[1]FourFactors_and_Market_Returns_!$A$1:$F$388,K$1,FALSE)/100</f>
        <v>4.3036289632507599E-3</v>
      </c>
    </row>
    <row r="54" spans="1:11" x14ac:dyDescent="0.3">
      <c r="A54" t="s">
        <v>62</v>
      </c>
      <c r="B54">
        <v>2019</v>
      </c>
      <c r="C54">
        <v>9</v>
      </c>
      <c r="D54">
        <v>6.9528213242394027E-2</v>
      </c>
      <c r="E54">
        <v>9.066965642829071E-4</v>
      </c>
      <c r="F54">
        <v>3.2654200431837463E-2</v>
      </c>
      <c r="G54">
        <f>VLOOKUP($A54,[1]FourFactors_and_Market_Returns_!$A$1:$F$388,G$1,FALSE)/100</f>
        <v>-3.1701016635602404E-3</v>
      </c>
      <c r="H54">
        <f>VLOOKUP($A54,[1]FourFactors_and_Market_Returns_!$A$1:$F$388,H$1,FALSE)/100</f>
        <v>1.8595957873329901E-2</v>
      </c>
      <c r="I54">
        <f>VLOOKUP($A54,[1]FourFactors_and_Market_Returns_!$A$1:$F$388,I$1,FALSE)/100</f>
        <v>-2.5461154042473101E-2</v>
      </c>
      <c r="J54">
        <f>VLOOKUP($A54,[1]FourFactors_and_Market_Returns_!$A$1:$F$388,J$1,FALSE)/100</f>
        <v>4.22990547679283E-2</v>
      </c>
      <c r="K54">
        <f>VLOOKUP($A54,[1]FourFactors_and_Market_Returns_!$A$1:$F$388,K$1,FALSE)/100</f>
        <v>4.4337848584377094E-3</v>
      </c>
    </row>
    <row r="55" spans="1:11" x14ac:dyDescent="0.3">
      <c r="A55" t="s">
        <v>63</v>
      </c>
      <c r="B55">
        <v>2019</v>
      </c>
      <c r="C55">
        <v>8</v>
      </c>
      <c r="D55">
        <v>8.5928379328078938E-2</v>
      </c>
      <c r="E55">
        <v>6.8076924504225242E-2</v>
      </c>
      <c r="F55">
        <v>0.1100890731858791</v>
      </c>
      <c r="G55">
        <f>VLOOKUP($A55,[1]FourFactors_and_Market_Returns_!$A$1:$F$388,G$1,FALSE)/100</f>
        <v>1.5230570783924E-3</v>
      </c>
      <c r="H55">
        <f>VLOOKUP($A55,[1]FourFactors_and_Market_Returns_!$A$1:$F$388,H$1,FALSE)/100</f>
        <v>-9.6753184758805913E-2</v>
      </c>
      <c r="I55">
        <f>VLOOKUP($A55,[1]FourFactors_and_Market_Returns_!$A$1:$F$388,I$1,FALSE)/100</f>
        <v>6.9687212673358798E-2</v>
      </c>
      <c r="J55">
        <f>VLOOKUP($A55,[1]FourFactors_and_Market_Returns_!$A$1:$F$388,J$1,FALSE)/100</f>
        <v>6.8933891982148098E-4</v>
      </c>
      <c r="K55">
        <f>VLOOKUP($A55,[1]FourFactors_and_Market_Returns_!$A$1:$F$388,K$1,FALSE)/100</f>
        <v>4.4082765406623396E-3</v>
      </c>
    </row>
    <row r="56" spans="1:11" x14ac:dyDescent="0.3">
      <c r="A56" t="s">
        <v>64</v>
      </c>
      <c r="B56">
        <v>2019</v>
      </c>
      <c r="C56">
        <v>7</v>
      </c>
      <c r="D56">
        <v>6.0961475245934572E-2</v>
      </c>
      <c r="E56">
        <v>5.20014098600892E-2</v>
      </c>
      <c r="F56">
        <v>3.572338835501223E-2</v>
      </c>
      <c r="G56">
        <f>VLOOKUP($A56,[1]FourFactors_and_Market_Returns_!$A$1:$F$388,G$1,FALSE)/100</f>
        <v>-5.1485978851754995E-2</v>
      </c>
      <c r="H56">
        <f>VLOOKUP($A56,[1]FourFactors_and_Market_Returns_!$A$1:$F$388,H$1,FALSE)/100</f>
        <v>-6.6402271394366205E-2</v>
      </c>
      <c r="I56">
        <f>VLOOKUP($A56,[1]FourFactors_and_Market_Returns_!$A$1:$F$388,I$1,FALSE)/100</f>
        <v>0.11488703179441799</v>
      </c>
      <c r="J56">
        <f>VLOOKUP($A56,[1]FourFactors_and_Market_Returns_!$A$1:$F$388,J$1,FALSE)/100</f>
        <v>-6.7473007920846401E-2</v>
      </c>
      <c r="K56">
        <f>VLOOKUP($A56,[1]FourFactors_and_Market_Returns_!$A$1:$F$388,K$1,FALSE)/100</f>
        <v>5.1574711354101001E-3</v>
      </c>
    </row>
    <row r="57" spans="1:11" x14ac:dyDescent="0.3">
      <c r="A57" t="s">
        <v>65</v>
      </c>
      <c r="B57">
        <v>2019</v>
      </c>
      <c r="C57">
        <v>6</v>
      </c>
      <c r="D57">
        <v>1.358132361769023E-2</v>
      </c>
      <c r="E57">
        <v>1.315148705316199E-2</v>
      </c>
      <c r="F57">
        <v>-8.1018116148965341E-2</v>
      </c>
      <c r="G57">
        <f>VLOOKUP($A57,[1]FourFactors_and_Market_Returns_!$A$1:$F$388,G$1,FALSE)/100</f>
        <v>-5.8395324961834E-2</v>
      </c>
      <c r="H57">
        <f>VLOOKUP($A57,[1]FourFactors_and_Market_Returns_!$A$1:$F$388,H$1,FALSE)/100</f>
        <v>-3.5441305012808601E-2</v>
      </c>
      <c r="I57">
        <f>VLOOKUP($A57,[1]FourFactors_and_Market_Returns_!$A$1:$F$388,I$1,FALSE)/100</f>
        <v>7.2419985463965594E-2</v>
      </c>
      <c r="J57">
        <f>VLOOKUP($A57,[1]FourFactors_and_Market_Returns_!$A$1:$F$388,J$1,FALSE)/100</f>
        <v>-2.3656831378723701E-2</v>
      </c>
      <c r="K57">
        <f>VLOOKUP($A57,[1]FourFactors_and_Market_Returns_!$A$1:$F$388,K$1,FALSE)/100</f>
        <v>4.5017713832273794E-3</v>
      </c>
    </row>
    <row r="58" spans="1:11" x14ac:dyDescent="0.3">
      <c r="A58" t="s">
        <v>66</v>
      </c>
      <c r="B58">
        <v>2019</v>
      </c>
      <c r="C58">
        <v>5</v>
      </c>
      <c r="D58">
        <v>-3.1122264496214219E-2</v>
      </c>
      <c r="E58">
        <v>-6.7082012160611132E-2</v>
      </c>
      <c r="F58">
        <v>-2.2452239828953641E-2</v>
      </c>
      <c r="G58">
        <f>VLOOKUP($A58,[1]FourFactors_and_Market_Returns_!$A$1:$F$388,G$1,FALSE)/100</f>
        <v>2.09010920639527E-2</v>
      </c>
      <c r="H58">
        <f>VLOOKUP($A58,[1]FourFactors_and_Market_Returns_!$A$1:$F$388,H$1,FALSE)/100</f>
        <v>-9.3226836407974707E-3</v>
      </c>
      <c r="I58">
        <f>VLOOKUP($A58,[1]FourFactors_and_Market_Returns_!$A$1:$F$388,I$1,FALSE)/100</f>
        <v>2.8874364170779598E-2</v>
      </c>
      <c r="J58">
        <f>VLOOKUP($A58,[1]FourFactors_and_Market_Returns_!$A$1:$F$388,J$1,FALSE)/100</f>
        <v>-9.7191503617828408E-3</v>
      </c>
      <c r="K58">
        <f>VLOOKUP($A58,[1]FourFactors_and_Market_Returns_!$A$1:$F$388,K$1,FALSE)/100</f>
        <v>5.2814636233500202E-3</v>
      </c>
    </row>
    <row r="59" spans="1:11" x14ac:dyDescent="0.3">
      <c r="A59" t="s">
        <v>67</v>
      </c>
      <c r="B59">
        <v>2019</v>
      </c>
      <c r="C59">
        <v>4</v>
      </c>
      <c r="D59">
        <v>5.58433042437817E-2</v>
      </c>
      <c r="E59">
        <v>8.3747560703776799E-2</v>
      </c>
      <c r="F59">
        <v>3.9222954631511299E-2</v>
      </c>
      <c r="G59">
        <f>VLOOKUP($A59,[1]FourFactors_and_Market_Returns_!$A$1:$F$388,G$1,FALSE)/100</f>
        <v>-2.84830401951672E-2</v>
      </c>
      <c r="H59">
        <f>VLOOKUP($A59,[1]FourFactors_and_Market_Returns_!$A$1:$F$388,H$1,FALSE)/100</f>
        <v>-1.6729900139757902E-2</v>
      </c>
      <c r="I59">
        <f>VLOOKUP($A59,[1]FourFactors_and_Market_Returns_!$A$1:$F$388,I$1,FALSE)/100</f>
        <v>2.7046321895275199E-2</v>
      </c>
      <c r="J59">
        <f>VLOOKUP($A59,[1]FourFactors_and_Market_Returns_!$A$1:$F$388,J$1,FALSE)/100</f>
        <v>4.1099510146871401E-3</v>
      </c>
      <c r="K59">
        <f>VLOOKUP($A59,[1]FourFactors_and_Market_Returns_!$A$1:$F$388,K$1,FALSE)/100</f>
        <v>5.3696718342961499E-3</v>
      </c>
    </row>
    <row r="60" spans="1:11" x14ac:dyDescent="0.3">
      <c r="A60" t="s">
        <v>68</v>
      </c>
      <c r="B60">
        <v>2019</v>
      </c>
      <c r="C60">
        <v>3</v>
      </c>
      <c r="D60">
        <v>-4.650719677576352E-3</v>
      </c>
      <c r="E60">
        <v>-1.87715485045176E-2</v>
      </c>
      <c r="F60">
        <v>4.6309358643444543E-2</v>
      </c>
      <c r="G60">
        <f>VLOOKUP($A60,[1]FourFactors_and_Market_Returns_!$A$1:$F$388,G$1,FALSE)/100</f>
        <v>1.8463936111807099E-2</v>
      </c>
      <c r="H60">
        <f>VLOOKUP($A60,[1]FourFactors_and_Market_Returns_!$A$1:$F$388,H$1,FALSE)/100</f>
        <v>9.2548937271053101E-3</v>
      </c>
      <c r="I60">
        <f>VLOOKUP($A60,[1]FourFactors_and_Market_Returns_!$A$1:$F$388,I$1,FALSE)/100</f>
        <v>-2.64270849161021E-2</v>
      </c>
      <c r="J60">
        <f>VLOOKUP($A60,[1]FourFactors_and_Market_Returns_!$A$1:$F$388,J$1,FALSE)/100</f>
        <v>5.5363974271269004E-2</v>
      </c>
      <c r="K60">
        <f>VLOOKUP($A60,[1]FourFactors_and_Market_Returns_!$A$1:$F$388,K$1,FALSE)/100</f>
        <v>4.9101891678395796E-3</v>
      </c>
    </row>
    <row r="61" spans="1:11" x14ac:dyDescent="0.3">
      <c r="A61" t="s">
        <v>69</v>
      </c>
      <c r="B61">
        <v>2019</v>
      </c>
      <c r="C61">
        <v>2</v>
      </c>
      <c r="D61">
        <v>6.3564404317146009E-2</v>
      </c>
      <c r="E61">
        <v>9.6181235971607673E-2</v>
      </c>
      <c r="F61">
        <v>8.713705319103883E-2</v>
      </c>
      <c r="G61">
        <f>VLOOKUP($A61,[1]FourFactors_and_Market_Returns_!$A$1:$F$388,G$1,FALSE)/100</f>
        <v>-4.9338478269102495E-2</v>
      </c>
      <c r="H61">
        <f>VLOOKUP($A61,[1]FourFactors_and_Market_Returns_!$A$1:$F$388,H$1,FALSE)/100</f>
        <v>-4.4171624329155702E-3</v>
      </c>
      <c r="I61">
        <f>VLOOKUP($A61,[1]FourFactors_and_Market_Returns_!$A$1:$F$388,I$1,FALSE)/100</f>
        <v>-2.3502929108262099E-2</v>
      </c>
      <c r="J61">
        <f>VLOOKUP($A61,[1]FourFactors_and_Market_Returns_!$A$1:$F$388,J$1,FALSE)/100</f>
        <v>-6.82246299884015E-3</v>
      </c>
      <c r="K61">
        <f>VLOOKUP($A61,[1]FourFactors_and_Market_Returns_!$A$1:$F$388,K$1,FALSE)/100</f>
        <v>4.8209350768535506E-3</v>
      </c>
    </row>
    <row r="62" spans="1:11" x14ac:dyDescent="0.3">
      <c r="A62" t="s">
        <v>70</v>
      </c>
      <c r="B62">
        <v>2019</v>
      </c>
      <c r="C62">
        <v>1</v>
      </c>
      <c r="D62">
        <v>-6.2191640360030429E-2</v>
      </c>
      <c r="E62">
        <v>-6.6432460999447593E-2</v>
      </c>
      <c r="F62">
        <v>-2.099840984387584E-2</v>
      </c>
      <c r="G62">
        <f>VLOOKUP($A62,[1]FourFactors_and_Market_Returns_!$A$1:$F$388,G$1,FALSE)/100</f>
        <v>-4.0526588418047398E-2</v>
      </c>
      <c r="H62">
        <f>VLOOKUP($A62,[1]FourFactors_and_Market_Returns_!$A$1:$F$388,H$1,FALSE)/100</f>
        <v>-4.8821270628379002E-2</v>
      </c>
      <c r="I62">
        <f>VLOOKUP($A62,[1]FourFactors_and_Market_Returns_!$A$1:$F$388,I$1,FALSE)/100</f>
        <v>5.6685809289898102E-2</v>
      </c>
      <c r="J62">
        <f>VLOOKUP($A62,[1]FourFactors_and_Market_Returns_!$A$1:$F$388,J$1,FALSE)/100</f>
        <v>-2.4376208971982602E-2</v>
      </c>
      <c r="K62">
        <f>VLOOKUP($A62,[1]FourFactors_and_Market_Returns_!$A$1:$F$388,K$1,FALSE)/100</f>
        <v>5.4666354849692801E-3</v>
      </c>
    </row>
    <row r="63" spans="1:11" x14ac:dyDescent="0.3">
      <c r="A63" t="s">
        <v>71</v>
      </c>
      <c r="B63">
        <v>2018</v>
      </c>
      <c r="C63">
        <v>12</v>
      </c>
      <c r="D63">
        <v>7.4619226796509328E-2</v>
      </c>
      <c r="E63">
        <v>8.654119184172511E-2</v>
      </c>
      <c r="F63">
        <v>6.4610609481974973E-2</v>
      </c>
      <c r="G63">
        <f>VLOOKUP($A63,[1]FourFactors_and_Market_Returns_!$A$1:$F$388,G$1,FALSE)/100</f>
        <v>1.23786803470212E-2</v>
      </c>
      <c r="H63">
        <f>VLOOKUP($A63,[1]FourFactors_and_Market_Returns_!$A$1:$F$388,H$1,FALSE)/100</f>
        <v>1.48471502509875E-2</v>
      </c>
      <c r="I63">
        <f>VLOOKUP($A63,[1]FourFactors_and_Market_Returns_!$A$1:$F$388,I$1,FALSE)/100</f>
        <v>-3.3413731948810498E-2</v>
      </c>
      <c r="J63">
        <f>VLOOKUP($A63,[1]FourFactors_and_Market_Returns_!$A$1:$F$388,J$1,FALSE)/100</f>
        <v>-3.9749751202206004E-3</v>
      </c>
      <c r="K63">
        <f>VLOOKUP($A63,[1]FourFactors_and_Market_Returns_!$A$1:$F$388,K$1,FALSE)/100</f>
        <v>5.5073089190775804E-3</v>
      </c>
    </row>
    <row r="64" spans="1:11" x14ac:dyDescent="0.3">
      <c r="A64" t="s">
        <v>72</v>
      </c>
      <c r="B64">
        <v>2018</v>
      </c>
      <c r="C64">
        <v>11</v>
      </c>
      <c r="D64">
        <v>-4.3675836622102039E-2</v>
      </c>
      <c r="E64">
        <v>-1.512898882926016E-2</v>
      </c>
      <c r="F64">
        <v>-3.6589304279188023E-2</v>
      </c>
      <c r="G64">
        <f>VLOOKUP($A64,[1]FourFactors_and_Market_Returns_!$A$1:$F$388,G$1,FALSE)/100</f>
        <v>-1.6114823496469199E-3</v>
      </c>
      <c r="H64">
        <f>VLOOKUP($A64,[1]FourFactors_and_Market_Returns_!$A$1:$F$388,H$1,FALSE)/100</f>
        <v>-3.6374800752143603E-2</v>
      </c>
      <c r="I64">
        <f>VLOOKUP($A64,[1]FourFactors_and_Market_Returns_!$A$1:$F$388,I$1,FALSE)/100</f>
        <v>-1.1043403076873E-2</v>
      </c>
      <c r="J64">
        <f>VLOOKUP($A64,[1]FourFactors_and_Market_Returns_!$A$1:$F$388,J$1,FALSE)/100</f>
        <v>2.2802518708954701E-2</v>
      </c>
      <c r="K64">
        <f>VLOOKUP($A64,[1]FourFactors_and_Market_Returns_!$A$1:$F$388,K$1,FALSE)/100</f>
        <v>5.4852146092496702E-3</v>
      </c>
    </row>
    <row r="65" spans="1:11" x14ac:dyDescent="0.3">
      <c r="A65" t="s">
        <v>73</v>
      </c>
      <c r="B65">
        <v>2018</v>
      </c>
      <c r="C65">
        <v>10</v>
      </c>
      <c r="D65">
        <v>8.2777702867748271E-2</v>
      </c>
      <c r="E65">
        <v>0.1430683345767913</v>
      </c>
      <c r="F65">
        <v>8.8236301208665574E-2</v>
      </c>
      <c r="G65">
        <f>VLOOKUP($A65,[1]FourFactors_and_Market_Returns_!$A$1:$F$388,G$1,FALSE)/100</f>
        <v>4.8662627798353099E-2</v>
      </c>
      <c r="H65">
        <f>VLOOKUP($A65,[1]FourFactors_and_Market_Returns_!$A$1:$F$388,H$1,FALSE)/100</f>
        <v>2.0234297180366602E-2</v>
      </c>
      <c r="I65">
        <f>VLOOKUP($A65,[1]FourFactors_and_Market_Returns_!$A$1:$F$388,I$1,FALSE)/100</f>
        <v>-7.8670491401735491E-3</v>
      </c>
      <c r="J65">
        <f>VLOOKUP($A65,[1]FourFactors_and_Market_Returns_!$A$1:$F$388,J$1,FALSE)/100</f>
        <v>-5.9040983494123997E-2</v>
      </c>
      <c r="K65">
        <f>VLOOKUP($A65,[1]FourFactors_and_Market_Returns_!$A$1:$F$388,K$1,FALSE)/100</f>
        <v>6.1472147542698296E-3</v>
      </c>
    </row>
    <row r="66" spans="1:11" x14ac:dyDescent="0.3">
      <c r="A66" t="s">
        <v>74</v>
      </c>
      <c r="B66">
        <v>2018</v>
      </c>
      <c r="C66">
        <v>9</v>
      </c>
      <c r="D66">
        <v>4.6096438135377289E-2</v>
      </c>
      <c r="E66">
        <v>-2.904187738273829E-2</v>
      </c>
      <c r="F66">
        <v>-4.1310112074363692E-2</v>
      </c>
      <c r="G66">
        <f>VLOOKUP($A66,[1]FourFactors_and_Market_Returns_!$A$1:$F$388,G$1,FALSE)/100</f>
        <v>-0.10626478115914101</v>
      </c>
      <c r="H66">
        <f>VLOOKUP($A66,[1]FourFactors_and_Market_Returns_!$A$1:$F$388,H$1,FALSE)/100</f>
        <v>-2.7723207370176903E-2</v>
      </c>
      <c r="I66">
        <f>VLOOKUP($A66,[1]FourFactors_and_Market_Returns_!$A$1:$F$388,I$1,FALSE)/100</f>
        <v>5.1916392442999303E-2</v>
      </c>
      <c r="J66">
        <f>VLOOKUP($A66,[1]FourFactors_and_Market_Returns_!$A$1:$F$388,J$1,FALSE)/100</f>
        <v>-8.0163510449814804E-2</v>
      </c>
      <c r="K66">
        <f>VLOOKUP($A66,[1]FourFactors_and_Market_Returns_!$A$1:$F$388,K$1,FALSE)/100</f>
        <v>5.1598238157564104E-3</v>
      </c>
    </row>
    <row r="67" spans="1:11" x14ac:dyDescent="0.3">
      <c r="A67" t="s">
        <v>75</v>
      </c>
      <c r="B67">
        <v>2018</v>
      </c>
      <c r="C67">
        <v>8</v>
      </c>
      <c r="D67">
        <v>4.1202767321882668E-2</v>
      </c>
      <c r="E67">
        <v>3.762762359655384E-2</v>
      </c>
      <c r="F67">
        <v>-3.6884083520776901E-3</v>
      </c>
      <c r="G67">
        <f>VLOOKUP($A67,[1]FourFactors_and_Market_Returns_!$A$1:$F$388,G$1,FALSE)/100</f>
        <v>-1.4048828841680501E-2</v>
      </c>
      <c r="H67">
        <f>VLOOKUP($A67,[1]FourFactors_and_Market_Returns_!$A$1:$F$388,H$1,FALSE)/100</f>
        <v>-1.8029851613923201E-3</v>
      </c>
      <c r="I67">
        <f>VLOOKUP($A67,[1]FourFactors_and_Market_Returns_!$A$1:$F$388,I$1,FALSE)/100</f>
        <v>4.7156591042539303E-2</v>
      </c>
      <c r="J67">
        <f>VLOOKUP($A67,[1]FourFactors_and_Market_Returns_!$A$1:$F$388,J$1,FALSE)/100</f>
        <v>4.3246812627694801E-2</v>
      </c>
      <c r="K67">
        <f>VLOOKUP($A67,[1]FourFactors_and_Market_Returns_!$A$1:$F$388,K$1,FALSE)/100</f>
        <v>5.56079477964877E-3</v>
      </c>
    </row>
    <row r="68" spans="1:11" x14ac:dyDescent="0.3">
      <c r="A68" t="s">
        <v>76</v>
      </c>
      <c r="B68">
        <v>2018</v>
      </c>
      <c r="C68">
        <v>7</v>
      </c>
      <c r="D68">
        <v>2.8511150435806432E-2</v>
      </c>
      <c r="E68">
        <v>5.6449855546967492E-2</v>
      </c>
      <c r="F68">
        <v>5.0499853102464062E-2</v>
      </c>
      <c r="G68">
        <f>VLOOKUP($A68,[1]FourFactors_and_Market_Returns_!$A$1:$F$388,G$1,FALSE)/100</f>
        <v>-1.69721037338832E-3</v>
      </c>
      <c r="H68">
        <f>VLOOKUP($A68,[1]FourFactors_and_Market_Returns_!$A$1:$F$388,H$1,FALSE)/100</f>
        <v>-2.0060236864408297E-2</v>
      </c>
      <c r="I68">
        <f>VLOOKUP($A68,[1]FourFactors_and_Market_Returns_!$A$1:$F$388,I$1,FALSE)/100</f>
        <v>2.6947091619351903E-2</v>
      </c>
      <c r="J68">
        <f>VLOOKUP($A68,[1]FourFactors_and_Market_Returns_!$A$1:$F$388,J$1,FALSE)/100</f>
        <v>4.6858135991566498E-2</v>
      </c>
      <c r="K68">
        <f>VLOOKUP($A68,[1]FourFactors_and_Market_Returns_!$A$1:$F$388,K$1,FALSE)/100</f>
        <v>5.5688608141386499E-3</v>
      </c>
    </row>
    <row r="69" spans="1:11" x14ac:dyDescent="0.3">
      <c r="A69" t="s">
        <v>77</v>
      </c>
      <c r="B69">
        <v>2018</v>
      </c>
      <c r="C69">
        <v>6</v>
      </c>
      <c r="D69">
        <v>5.9131813100786031E-2</v>
      </c>
      <c r="E69">
        <v>4.8388473963257371E-2</v>
      </c>
      <c r="F69">
        <v>5.5173076142390337E-2</v>
      </c>
      <c r="G69">
        <f>VLOOKUP($A69,[1]FourFactors_and_Market_Returns_!$A$1:$F$388,G$1,FALSE)/100</f>
        <v>-6.4678340858249805E-2</v>
      </c>
      <c r="H69">
        <f>VLOOKUP($A69,[1]FourFactors_and_Market_Returns_!$A$1:$F$388,H$1,FALSE)/100</f>
        <v>-5.0040321842946295E-2</v>
      </c>
      <c r="I69">
        <f>VLOOKUP($A69,[1]FourFactors_and_Market_Returns_!$A$1:$F$388,I$1,FALSE)/100</f>
        <v>6.9374097724788095E-3</v>
      </c>
      <c r="J69">
        <f>VLOOKUP($A69,[1]FourFactors_and_Market_Returns_!$A$1:$F$388,J$1,FALSE)/100</f>
        <v>-2.8892822790746502E-2</v>
      </c>
      <c r="K69">
        <f>VLOOKUP($A69,[1]FourFactors_and_Market_Returns_!$A$1:$F$388,K$1,FALSE)/100</f>
        <v>5.0022328326155795E-3</v>
      </c>
    </row>
    <row r="70" spans="1:11" x14ac:dyDescent="0.3">
      <c r="A70" t="s">
        <v>78</v>
      </c>
      <c r="B70">
        <v>2018</v>
      </c>
      <c r="C70">
        <v>5</v>
      </c>
      <c r="D70">
        <v>-2.929839406614734E-2</v>
      </c>
      <c r="E70">
        <v>7.6517520343826698E-3</v>
      </c>
      <c r="F70">
        <v>-4.4666947581560187E-2</v>
      </c>
      <c r="G70">
        <f>VLOOKUP($A70,[1]FourFactors_and_Market_Returns_!$A$1:$F$388,G$1,FALSE)/100</f>
        <v>-4.2242312953057803E-2</v>
      </c>
      <c r="H70">
        <f>VLOOKUP($A70,[1]FourFactors_and_Market_Returns_!$A$1:$F$388,H$1,FALSE)/100</f>
        <v>-2.05293786543315E-2</v>
      </c>
      <c r="I70">
        <f>VLOOKUP($A70,[1]FourFactors_and_Market_Returns_!$A$1:$F$388,I$1,FALSE)/100</f>
        <v>2.4198955089452599E-2</v>
      </c>
      <c r="J70">
        <f>VLOOKUP($A70,[1]FourFactors_and_Market_Returns_!$A$1:$F$388,J$1,FALSE)/100</f>
        <v>-4.0999690944737793E-2</v>
      </c>
      <c r="K70">
        <f>VLOOKUP($A70,[1]FourFactors_and_Market_Returns_!$A$1:$F$388,K$1,FALSE)/100</f>
        <v>5.1989890988481903E-3</v>
      </c>
    </row>
    <row r="71" spans="1:11" x14ac:dyDescent="0.3">
      <c r="A71" t="s">
        <v>79</v>
      </c>
      <c r="B71">
        <v>2018</v>
      </c>
      <c r="C71">
        <v>4</v>
      </c>
      <c r="D71">
        <v>1.2209617574409269E-2</v>
      </c>
      <c r="E71">
        <v>5.9832374677574289E-2</v>
      </c>
      <c r="F71">
        <v>8.1272761721181003E-3</v>
      </c>
      <c r="G71">
        <f>VLOOKUP($A71,[1]FourFactors_and_Market_Returns_!$A$1:$F$388,G$1,FALSE)/100</f>
        <v>7.7891891754888797E-3</v>
      </c>
      <c r="H71">
        <f>VLOOKUP($A71,[1]FourFactors_and_Market_Returns_!$A$1:$F$388,H$1,FALSE)/100</f>
        <v>-5.7554120544617308E-3</v>
      </c>
      <c r="I71">
        <f>VLOOKUP($A71,[1]FourFactors_and_Market_Returns_!$A$1:$F$388,I$1,FALSE)/100</f>
        <v>3.8239926433671696E-2</v>
      </c>
      <c r="J71">
        <f>VLOOKUP($A71,[1]FourFactors_and_Market_Returns_!$A$1:$F$388,J$1,FALSE)/100</f>
        <v>6.4987847934038903E-2</v>
      </c>
      <c r="K71">
        <f>VLOOKUP($A71,[1]FourFactors_and_Market_Returns_!$A$1:$F$388,K$1,FALSE)/100</f>
        <v>5.3817289871642702E-3</v>
      </c>
    </row>
    <row r="72" spans="1:11" x14ac:dyDescent="0.3">
      <c r="A72" t="s">
        <v>80</v>
      </c>
      <c r="B72">
        <v>2018</v>
      </c>
      <c r="C72">
        <v>3</v>
      </c>
      <c r="D72">
        <v>-5.0923473396548728E-2</v>
      </c>
      <c r="E72">
        <v>-0.1229968011708735</v>
      </c>
      <c r="F72">
        <v>-0.1033411435765413</v>
      </c>
      <c r="G72">
        <f>VLOOKUP($A72,[1]FourFactors_and_Market_Returns_!$A$1:$F$388,G$1,FALSE)/100</f>
        <v>-2.7013497989664802E-2</v>
      </c>
      <c r="H72">
        <f>VLOOKUP($A72,[1]FourFactors_and_Market_Returns_!$A$1:$F$388,H$1,FALSE)/100</f>
        <v>-6.8002566221965904E-2</v>
      </c>
      <c r="I72">
        <f>VLOOKUP($A72,[1]FourFactors_and_Market_Returns_!$A$1:$F$388,I$1,FALSE)/100</f>
        <v>4.63663671448993E-2</v>
      </c>
      <c r="J72">
        <f>VLOOKUP($A72,[1]FourFactors_and_Market_Returns_!$A$1:$F$388,J$1,FALSE)/100</f>
        <v>-5.2425286213617896E-2</v>
      </c>
      <c r="K72">
        <f>VLOOKUP($A72,[1]FourFactors_and_Market_Returns_!$A$1:$F$388,K$1,FALSE)/100</f>
        <v>4.6667802503921304E-3</v>
      </c>
    </row>
    <row r="73" spans="1:11" x14ac:dyDescent="0.3">
      <c r="A73" t="s">
        <v>81</v>
      </c>
      <c r="B73">
        <v>2018</v>
      </c>
      <c r="C73">
        <v>2</v>
      </c>
      <c r="D73">
        <v>2.9126046442169349E-2</v>
      </c>
      <c r="E73">
        <v>3.3233441180504961E-2</v>
      </c>
      <c r="F73">
        <v>8.3145052627718402E-2</v>
      </c>
      <c r="G73">
        <f>VLOOKUP($A73,[1]FourFactors_and_Market_Returns_!$A$1:$F$388,G$1,FALSE)/100</f>
        <v>-1.29058798223775E-2</v>
      </c>
      <c r="H73">
        <f>VLOOKUP($A73,[1]FourFactors_and_Market_Returns_!$A$1:$F$388,H$1,FALSE)/100</f>
        <v>-2.5762219034347802E-2</v>
      </c>
      <c r="I73">
        <f>VLOOKUP($A73,[1]FourFactors_and_Market_Returns_!$A$1:$F$388,I$1,FALSE)/100</f>
        <v>1.7349051827629101E-2</v>
      </c>
      <c r="J73">
        <f>VLOOKUP($A73,[1]FourFactors_and_Market_Returns_!$A$1:$F$388,J$1,FALSE)/100</f>
        <v>-3.4928948617913097E-2</v>
      </c>
      <c r="K73">
        <f>VLOOKUP($A73,[1]FourFactors_and_Market_Returns_!$A$1:$F$388,K$1,FALSE)/100</f>
        <v>4.7502946289510496E-3</v>
      </c>
    </row>
    <row r="74" spans="1:11" x14ac:dyDescent="0.3">
      <c r="A74" t="s">
        <v>82</v>
      </c>
      <c r="B74">
        <v>2018</v>
      </c>
      <c r="C74">
        <v>1</v>
      </c>
      <c r="D74">
        <v>6.2366271718362037E-2</v>
      </c>
      <c r="E74">
        <v>-7.4720725110451486E-3</v>
      </c>
      <c r="F74">
        <v>3.6936636258361071E-2</v>
      </c>
      <c r="G74">
        <f>VLOOKUP($A74,[1]FourFactors_and_Market_Returns_!$A$1:$F$388,G$1,FALSE)/100</f>
        <v>-3.3195187577200996E-2</v>
      </c>
      <c r="H74">
        <f>VLOOKUP($A74,[1]FourFactors_and_Market_Returns_!$A$1:$F$388,H$1,FALSE)/100</f>
        <v>-9.3857783052247994E-3</v>
      </c>
      <c r="I74">
        <f>VLOOKUP($A74,[1]FourFactors_and_Market_Returns_!$A$1:$F$388,I$1,FALSE)/100</f>
        <v>4.4509033010153897E-3</v>
      </c>
      <c r="J74">
        <f>VLOOKUP($A74,[1]FourFactors_and_Market_Returns_!$A$1:$F$388,J$1,FALSE)/100</f>
        <v>-5.2519359422981103E-3</v>
      </c>
      <c r="K74">
        <f>VLOOKUP($A74,[1]FourFactors_and_Market_Returns_!$A$1:$F$388,K$1,FALSE)/100</f>
        <v>5.5468046088789106E-3</v>
      </c>
    </row>
  </sheetData>
  <sortState xmlns:xlrd2="http://schemas.microsoft.com/office/spreadsheetml/2017/richdata2" ref="A3:K74">
    <sortCondition descending="1" ref="B3:B74"/>
    <sortCondition descending="1" ref="C3:C74"/>
  </sortState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933D6B8-14BF-4382-86F5-8BB824F2DD90}">
  <dimension ref="A1:N75"/>
  <sheetViews>
    <sheetView topLeftCell="A63" workbookViewId="0">
      <selection activeCell="M75" sqref="M75"/>
    </sheetView>
  </sheetViews>
  <sheetFormatPr defaultRowHeight="14.4" x14ac:dyDescent="0.3"/>
  <sheetData>
    <row r="1" spans="1:14" x14ac:dyDescent="0.3">
      <c r="A1" s="3" t="s">
        <v>0</v>
      </c>
      <c r="B1" s="3" t="s">
        <v>1</v>
      </c>
      <c r="C1" s="3" t="s">
        <v>2</v>
      </c>
      <c r="D1" s="3" t="s">
        <v>3</v>
      </c>
      <c r="E1" s="3" t="s">
        <v>4</v>
      </c>
      <c r="F1" s="3" t="s">
        <v>5</v>
      </c>
      <c r="G1" s="3" t="str">
        <f>CONCATENATE("RP",D1)</f>
        <v>RPFund 1</v>
      </c>
      <c r="H1" s="3" t="str">
        <f t="shared" ref="H1:I1" si="0">CONCATENATE("RP",E1)</f>
        <v>RPFund 2</v>
      </c>
      <c r="I1" s="3" t="str">
        <f t="shared" si="0"/>
        <v>RPFund 3</v>
      </c>
      <c r="J1" s="3" t="s">
        <v>6</v>
      </c>
      <c r="K1" s="3" t="s">
        <v>7</v>
      </c>
      <c r="L1" s="3" t="s">
        <v>8</v>
      </c>
      <c r="M1" s="3" t="s">
        <v>9</v>
      </c>
      <c r="N1" s="3" t="s">
        <v>10</v>
      </c>
    </row>
    <row r="2" spans="1:14" x14ac:dyDescent="0.3">
      <c r="A2" t="s">
        <v>11</v>
      </c>
      <c r="B2">
        <v>2023</v>
      </c>
      <c r="C2">
        <v>12</v>
      </c>
      <c r="D2">
        <v>-4.5088530140404329E-2</v>
      </c>
      <c r="E2">
        <v>-4.9066097328740073E-2</v>
      </c>
      <c r="F2">
        <v>-6.6042426791924291E-2</v>
      </c>
      <c r="G2">
        <f>D2-$N2</f>
        <v>-5.0442995116973879E-2</v>
      </c>
      <c r="H2">
        <f t="shared" ref="H2:I2" si="1">E2-$N2</f>
        <v>-5.4420562305309624E-2</v>
      </c>
      <c r="I2">
        <f t="shared" si="1"/>
        <v>-7.1396891768493842E-2</v>
      </c>
      <c r="J2">
        <v>-4.74708092205176E-2</v>
      </c>
      <c r="K2">
        <v>4.0299415680658E-2</v>
      </c>
      <c r="L2">
        <v>-1.5099529632685E-2</v>
      </c>
      <c r="M2">
        <v>7.9760800968939394E-2</v>
      </c>
      <c r="N2">
        <v>5.3544649765695498E-3</v>
      </c>
    </row>
    <row r="3" spans="1:14" x14ac:dyDescent="0.3">
      <c r="A3" t="s">
        <v>12</v>
      </c>
      <c r="B3">
        <v>2023</v>
      </c>
      <c r="C3">
        <v>11</v>
      </c>
      <c r="D3">
        <v>-9.7990089301074092E-3</v>
      </c>
      <c r="E3">
        <v>-6.0746075983039542E-3</v>
      </c>
      <c r="F3">
        <v>2.464447728036959E-2</v>
      </c>
      <c r="G3">
        <f t="shared" ref="G3:G66" si="2">D3-$N3</f>
        <v>-1.5321999733332901E-2</v>
      </c>
      <c r="H3">
        <f t="shared" ref="H3:H66" si="3">E3-$N3</f>
        <v>-1.1597598401529446E-2</v>
      </c>
      <c r="I3">
        <f t="shared" ref="I3:I66" si="4">F3-$N3</f>
        <v>1.9121486477144099E-2</v>
      </c>
      <c r="J3">
        <v>-1.23731643050579E-2</v>
      </c>
      <c r="K3">
        <v>5.1785275022272502E-2</v>
      </c>
      <c r="L3">
        <v>4.9825814717050901E-2</v>
      </c>
      <c r="M3">
        <v>7.3152875369602507E-2</v>
      </c>
      <c r="N3">
        <v>5.5229908032254907E-3</v>
      </c>
    </row>
    <row r="4" spans="1:14" x14ac:dyDescent="0.3">
      <c r="A4" t="s">
        <v>13</v>
      </c>
      <c r="B4">
        <v>2023</v>
      </c>
      <c r="C4">
        <v>10</v>
      </c>
      <c r="D4">
        <v>7.5768068700362151E-2</v>
      </c>
      <c r="E4">
        <v>5.3005259856860359E-2</v>
      </c>
      <c r="F4">
        <v>7.1454287119544158E-2</v>
      </c>
      <c r="G4">
        <f t="shared" si="2"/>
        <v>6.9914865612280136E-2</v>
      </c>
      <c r="H4">
        <f t="shared" si="3"/>
        <v>4.7152056768778337E-2</v>
      </c>
      <c r="I4">
        <f t="shared" si="4"/>
        <v>6.5601084031462142E-2</v>
      </c>
      <c r="J4">
        <v>3.3846168489699797E-2</v>
      </c>
      <c r="K4">
        <v>-1.0062760984292901E-3</v>
      </c>
      <c r="L4">
        <v>3.6162516216809298E-2</v>
      </c>
      <c r="M4">
        <v>-2.8678947552644999E-2</v>
      </c>
      <c r="N4">
        <v>5.8532030880820195E-3</v>
      </c>
    </row>
    <row r="5" spans="1:14" x14ac:dyDescent="0.3">
      <c r="A5" t="s">
        <v>14</v>
      </c>
      <c r="B5">
        <v>2023</v>
      </c>
      <c r="C5">
        <v>9</v>
      </c>
      <c r="D5">
        <v>5.4286268333353198E-2</v>
      </c>
      <c r="E5">
        <v>8.7497223456787621E-2</v>
      </c>
      <c r="F5">
        <v>2.495551033740364E-2</v>
      </c>
      <c r="G5">
        <f t="shared" si="2"/>
        <v>4.902419997431378E-2</v>
      </c>
      <c r="H5">
        <f t="shared" si="3"/>
        <v>8.2235155097748203E-2</v>
      </c>
      <c r="I5">
        <f t="shared" si="4"/>
        <v>1.9693441978364219E-2</v>
      </c>
      <c r="J5">
        <v>-1.4236323362293499E-2</v>
      </c>
      <c r="K5">
        <v>4.9771684203315097E-2</v>
      </c>
      <c r="L5">
        <v>1.06550725062859E-2</v>
      </c>
      <c r="M5">
        <v>1.7267178078914199E-2</v>
      </c>
      <c r="N5">
        <v>5.2620683590394205E-3</v>
      </c>
    </row>
    <row r="6" spans="1:14" x14ac:dyDescent="0.3">
      <c r="A6" t="s">
        <v>15</v>
      </c>
      <c r="B6">
        <v>2023</v>
      </c>
      <c r="C6">
        <v>8</v>
      </c>
      <c r="D6">
        <v>2.4102780350471639E-2</v>
      </c>
      <c r="E6">
        <v>7.2787921662953281E-2</v>
      </c>
      <c r="F6">
        <v>7.601176091425535E-4</v>
      </c>
      <c r="G6">
        <f t="shared" si="2"/>
        <v>1.8509981408378888E-2</v>
      </c>
      <c r="H6">
        <f t="shared" si="3"/>
        <v>6.7195122720860534E-2</v>
      </c>
      <c r="I6">
        <f t="shared" si="4"/>
        <v>-4.8326813329501971E-3</v>
      </c>
      <c r="J6">
        <v>8.7493406480727801E-2</v>
      </c>
      <c r="K6">
        <v>2.0753981926263401E-2</v>
      </c>
      <c r="L6">
        <v>7.4839843620044802E-3</v>
      </c>
      <c r="M6">
        <v>3.1016585316765398E-3</v>
      </c>
      <c r="N6">
        <v>5.5927989420927506E-3</v>
      </c>
    </row>
    <row r="7" spans="1:14" x14ac:dyDescent="0.3">
      <c r="A7" t="s">
        <v>16</v>
      </c>
      <c r="B7">
        <v>2023</v>
      </c>
      <c r="C7">
        <v>7</v>
      </c>
      <c r="D7">
        <v>5.1017785799338231E-2</v>
      </c>
      <c r="E7">
        <v>-5.4602059127273556E-3</v>
      </c>
      <c r="F7">
        <v>2.3317000984026531E-2</v>
      </c>
      <c r="G7">
        <f t="shared" si="2"/>
        <v>4.5474875228423618E-2</v>
      </c>
      <c r="H7">
        <f t="shared" si="3"/>
        <v>-1.1003116483641965E-2</v>
      </c>
      <c r="I7">
        <f t="shared" si="4"/>
        <v>1.7774090413111922E-2</v>
      </c>
      <c r="J7">
        <v>2.0759573469661698E-2</v>
      </c>
      <c r="K7">
        <v>6.8164037090330906E-2</v>
      </c>
      <c r="L7">
        <v>6.30060022630832E-2</v>
      </c>
      <c r="M7">
        <v>4.4328041856056995E-2</v>
      </c>
      <c r="N7">
        <v>5.5429105709146097E-3</v>
      </c>
    </row>
    <row r="8" spans="1:14" x14ac:dyDescent="0.3">
      <c r="A8" t="s">
        <v>17</v>
      </c>
      <c r="B8">
        <v>2023</v>
      </c>
      <c r="C8">
        <v>6</v>
      </c>
      <c r="D8">
        <v>1.57014540523309E-2</v>
      </c>
      <c r="E8">
        <v>4.9668116180634783E-2</v>
      </c>
      <c r="F8">
        <v>-6.0126686883461358E-3</v>
      </c>
      <c r="G8">
        <f t="shared" si="2"/>
        <v>1.0310698774823469E-2</v>
      </c>
      <c r="H8">
        <f t="shared" si="3"/>
        <v>4.4277360903127352E-2</v>
      </c>
      <c r="I8">
        <f t="shared" si="4"/>
        <v>-1.1403423965853567E-2</v>
      </c>
      <c r="J8">
        <v>3.4175983069923997E-2</v>
      </c>
      <c r="K8">
        <v>1.3883067372937801E-2</v>
      </c>
      <c r="L8">
        <v>2.2651177347637698E-2</v>
      </c>
      <c r="M8">
        <v>4.2625415142435702E-2</v>
      </c>
      <c r="N8">
        <v>5.3907552775074299E-3</v>
      </c>
    </row>
    <row r="9" spans="1:14" x14ac:dyDescent="0.3">
      <c r="A9" t="s">
        <v>18</v>
      </c>
      <c r="B9">
        <v>2023</v>
      </c>
      <c r="C9">
        <v>5</v>
      </c>
      <c r="D9">
        <v>-1.5504503204276749E-2</v>
      </c>
      <c r="E9">
        <v>1.2273328263762489E-2</v>
      </c>
      <c r="F9">
        <v>8.1995207332853891E-3</v>
      </c>
      <c r="G9">
        <f t="shared" si="2"/>
        <v>-2.1514680698053831E-2</v>
      </c>
      <c r="H9">
        <f t="shared" si="3"/>
        <v>6.2631507699854091E-3</v>
      </c>
      <c r="I9">
        <f t="shared" si="4"/>
        <v>2.1893432395083089E-3</v>
      </c>
      <c r="J9">
        <v>2.1029552833397702E-2</v>
      </c>
      <c r="K9">
        <v>-1.7307709816203401E-2</v>
      </c>
      <c r="L9">
        <v>2.2226993613245802E-2</v>
      </c>
      <c r="M9">
        <v>3.8017279657155401E-2</v>
      </c>
      <c r="N9">
        <v>6.0101774937770802E-3</v>
      </c>
    </row>
    <row r="10" spans="1:14" x14ac:dyDescent="0.3">
      <c r="A10" t="s">
        <v>19</v>
      </c>
      <c r="B10">
        <v>2023</v>
      </c>
      <c r="C10">
        <v>4</v>
      </c>
      <c r="D10">
        <v>3.7905315047138913E-2</v>
      </c>
      <c r="E10">
        <v>2.301907557487402E-2</v>
      </c>
      <c r="F10">
        <v>0.1020606390985042</v>
      </c>
      <c r="G10">
        <f t="shared" si="2"/>
        <v>3.2851709966977186E-2</v>
      </c>
      <c r="H10">
        <f t="shared" si="3"/>
        <v>1.7965470494712289E-2</v>
      </c>
      <c r="I10">
        <f t="shared" si="4"/>
        <v>9.7007034018342472E-2</v>
      </c>
      <c r="J10">
        <v>6.18926446653663E-2</v>
      </c>
      <c r="K10">
        <v>2.8852192126583E-2</v>
      </c>
      <c r="L10">
        <v>-3.8882015624407601E-2</v>
      </c>
      <c r="M10">
        <v>4.0699975646452301E-2</v>
      </c>
      <c r="N10">
        <v>5.0536050801617306E-3</v>
      </c>
    </row>
    <row r="11" spans="1:14" x14ac:dyDescent="0.3">
      <c r="A11" t="s">
        <v>20</v>
      </c>
      <c r="B11">
        <v>2023</v>
      </c>
      <c r="C11">
        <v>3</v>
      </c>
      <c r="D11">
        <v>3.6028597960437163E-2</v>
      </c>
      <c r="E11">
        <v>-8.6203506008209266E-4</v>
      </c>
      <c r="F11">
        <v>-2.457118467515837E-2</v>
      </c>
      <c r="G11">
        <f t="shared" si="2"/>
        <v>3.0374896961266763E-2</v>
      </c>
      <c r="H11">
        <f t="shared" si="3"/>
        <v>-6.5157360592524929E-3</v>
      </c>
      <c r="I11">
        <f t="shared" si="4"/>
        <v>-3.022488567432877E-2</v>
      </c>
      <c r="J11">
        <v>-2.41009707399392E-2</v>
      </c>
      <c r="K11">
        <v>8.304726189056531E-3</v>
      </c>
      <c r="L11">
        <v>1.9217253733664601E-2</v>
      </c>
      <c r="M11">
        <v>3.0646540929111198E-3</v>
      </c>
      <c r="N11">
        <v>5.6537009991704003E-3</v>
      </c>
    </row>
    <row r="12" spans="1:14" x14ac:dyDescent="0.3">
      <c r="A12" t="s">
        <v>21</v>
      </c>
      <c r="B12">
        <v>2023</v>
      </c>
      <c r="C12">
        <v>2</v>
      </c>
      <c r="D12">
        <v>2.6352361724875911E-2</v>
      </c>
      <c r="E12">
        <v>-5.7491981899594598E-2</v>
      </c>
      <c r="F12">
        <v>4.6393409151134091E-3</v>
      </c>
      <c r="G12">
        <f t="shared" si="2"/>
        <v>2.1382200243119581E-2</v>
      </c>
      <c r="H12">
        <f t="shared" si="3"/>
        <v>-6.2462143381350928E-2</v>
      </c>
      <c r="I12">
        <f t="shared" si="4"/>
        <v>-3.3082056664292085E-4</v>
      </c>
      <c r="J12">
        <v>-2.28149109333722E-2</v>
      </c>
      <c r="K12">
        <v>3.1429407090395301E-3</v>
      </c>
      <c r="L12">
        <v>-1.8769980629789601E-2</v>
      </c>
      <c r="M12">
        <v>-5.4679583164379798E-2</v>
      </c>
      <c r="N12">
        <v>4.97016148175633E-3</v>
      </c>
    </row>
    <row r="13" spans="1:14" x14ac:dyDescent="0.3">
      <c r="A13" t="s">
        <v>22</v>
      </c>
      <c r="B13">
        <v>2023</v>
      </c>
      <c r="C13">
        <v>1</v>
      </c>
      <c r="D13">
        <v>2.3412169433025719E-2</v>
      </c>
      <c r="E13">
        <v>5.8687737031520727E-2</v>
      </c>
      <c r="F13">
        <v>7.4504668711288205E-2</v>
      </c>
      <c r="G13">
        <f t="shared" si="2"/>
        <v>1.7968146498318249E-2</v>
      </c>
      <c r="H13">
        <f t="shared" si="3"/>
        <v>5.3243714096813256E-2</v>
      </c>
      <c r="I13">
        <f t="shared" si="4"/>
        <v>6.9060645776580734E-2</v>
      </c>
      <c r="J13">
        <v>3.6773965822962701E-3</v>
      </c>
      <c r="K13">
        <v>3.8132506293955898E-2</v>
      </c>
      <c r="L13">
        <v>-3.1893235871198702E-2</v>
      </c>
      <c r="M13">
        <v>-4.5392000383526296E-2</v>
      </c>
      <c r="N13">
        <v>5.44402293470747E-3</v>
      </c>
    </row>
    <row r="14" spans="1:14" x14ac:dyDescent="0.3">
      <c r="A14" t="s">
        <v>23</v>
      </c>
      <c r="B14">
        <v>2022</v>
      </c>
      <c r="C14">
        <v>12</v>
      </c>
      <c r="D14">
        <v>-2.9987758118552262E-2</v>
      </c>
      <c r="E14">
        <v>-4.1758400776291379E-2</v>
      </c>
      <c r="F14">
        <v>-2.6936241734324559E-2</v>
      </c>
      <c r="G14">
        <f t="shared" si="2"/>
        <v>-3.5098068481505554E-2</v>
      </c>
      <c r="H14">
        <f t="shared" si="3"/>
        <v>-4.6868711139244672E-2</v>
      </c>
      <c r="I14">
        <f t="shared" si="4"/>
        <v>-3.2046552097277851E-2</v>
      </c>
      <c r="J14">
        <v>1.7418782926148499E-2</v>
      </c>
      <c r="K14">
        <v>2.8371463793000599E-2</v>
      </c>
      <c r="L14">
        <v>-3.48718092593514E-4</v>
      </c>
      <c r="M14">
        <v>-3.9759601734713698E-2</v>
      </c>
      <c r="N14">
        <v>5.1103103629532897E-3</v>
      </c>
    </row>
    <row r="15" spans="1:14" x14ac:dyDescent="0.3">
      <c r="A15" t="s">
        <v>24</v>
      </c>
      <c r="B15">
        <v>2022</v>
      </c>
      <c r="C15">
        <v>11</v>
      </c>
      <c r="D15">
        <v>5.7070004181082233E-2</v>
      </c>
      <c r="E15">
        <v>9.7174127098794652E-2</v>
      </c>
      <c r="F15">
        <v>7.3811468008672276E-2</v>
      </c>
      <c r="G15">
        <f t="shared" si="2"/>
        <v>5.1919696254883047E-2</v>
      </c>
      <c r="H15">
        <f t="shared" si="3"/>
        <v>9.2023819172595459E-2</v>
      </c>
      <c r="I15">
        <f t="shared" si="4"/>
        <v>6.8661160082473083E-2</v>
      </c>
      <c r="J15">
        <v>-4.2131060578441994E-3</v>
      </c>
      <c r="K15">
        <v>5.5302041142363298E-2</v>
      </c>
      <c r="L15">
        <v>-1.6656373340916301E-2</v>
      </c>
      <c r="M15">
        <v>2.3382955405838502E-2</v>
      </c>
      <c r="N15">
        <v>5.1503079261991901E-3</v>
      </c>
    </row>
    <row r="16" spans="1:14" x14ac:dyDescent="0.3">
      <c r="A16" t="s">
        <v>25</v>
      </c>
      <c r="B16">
        <v>2022</v>
      </c>
      <c r="C16">
        <v>10</v>
      </c>
      <c r="D16">
        <v>0.1072380106974184</v>
      </c>
      <c r="E16">
        <v>8.1758076105599486E-2</v>
      </c>
      <c r="F16">
        <v>0.1089307582932936</v>
      </c>
      <c r="G16">
        <f t="shared" si="2"/>
        <v>0.10207069550050546</v>
      </c>
      <c r="H16">
        <f t="shared" si="3"/>
        <v>7.659076090868655E-2</v>
      </c>
      <c r="I16">
        <f t="shared" si="4"/>
        <v>0.10376344309638066</v>
      </c>
      <c r="J16">
        <v>-2.5152667912202598E-2</v>
      </c>
      <c r="K16">
        <v>3.1976350246086603E-2</v>
      </c>
      <c r="L16">
        <v>-3.5715442917606498E-3</v>
      </c>
      <c r="M16">
        <v>1.9150297005627901E-2</v>
      </c>
      <c r="N16">
        <v>5.1673151969129404E-3</v>
      </c>
    </row>
    <row r="17" spans="1:14" x14ac:dyDescent="0.3">
      <c r="A17" t="s">
        <v>26</v>
      </c>
      <c r="B17">
        <v>2022</v>
      </c>
      <c r="C17">
        <v>9</v>
      </c>
      <c r="D17">
        <v>6.117288523953985E-2</v>
      </c>
      <c r="E17">
        <v>0.11204524887057871</v>
      </c>
      <c r="F17">
        <v>4.113827950248778E-2</v>
      </c>
      <c r="G17">
        <f t="shared" si="2"/>
        <v>5.6424127166086087E-2</v>
      </c>
      <c r="H17">
        <f t="shared" si="3"/>
        <v>0.10729649079712494</v>
      </c>
      <c r="I17">
        <f t="shared" si="4"/>
        <v>3.6389521429034018E-2</v>
      </c>
      <c r="J17">
        <v>3.4504686212144101E-2</v>
      </c>
      <c r="K17">
        <v>-2.28068765111193E-2</v>
      </c>
      <c r="L17">
        <v>1.69657370644813E-2</v>
      </c>
      <c r="M17">
        <v>-3.5608496893493699E-2</v>
      </c>
      <c r="N17">
        <v>4.7487580734537601E-3</v>
      </c>
    </row>
    <row r="18" spans="1:14" x14ac:dyDescent="0.3">
      <c r="A18" t="s">
        <v>27</v>
      </c>
      <c r="B18">
        <v>2022</v>
      </c>
      <c r="C18">
        <v>8</v>
      </c>
      <c r="D18">
        <v>-8.2355225096681275E-3</v>
      </c>
      <c r="E18">
        <v>-6.7692621148015178E-2</v>
      </c>
      <c r="F18">
        <v>-3.6459269540085083E-2</v>
      </c>
      <c r="G18">
        <f t="shared" si="2"/>
        <v>-1.3007850050098458E-2</v>
      </c>
      <c r="H18">
        <f t="shared" si="3"/>
        <v>-7.246494868844551E-2</v>
      </c>
      <c r="I18">
        <f t="shared" si="4"/>
        <v>-4.1231597080515416E-2</v>
      </c>
      <c r="J18">
        <v>1.03199094786879E-2</v>
      </c>
      <c r="K18">
        <v>2.3336199661367001E-2</v>
      </c>
      <c r="L18">
        <v>6.17863439830715E-2</v>
      </c>
      <c r="M18">
        <v>4.9043864879744402E-2</v>
      </c>
      <c r="N18">
        <v>4.7723275404303296E-3</v>
      </c>
    </row>
    <row r="19" spans="1:14" x14ac:dyDescent="0.3">
      <c r="A19" t="s">
        <v>28</v>
      </c>
      <c r="B19">
        <v>2022</v>
      </c>
      <c r="C19">
        <v>7</v>
      </c>
      <c r="D19">
        <v>5.7456602873304598E-2</v>
      </c>
      <c r="E19">
        <v>8.5734003262133748E-2</v>
      </c>
      <c r="F19">
        <v>4.3289964893125088E-2</v>
      </c>
      <c r="G19">
        <f t="shared" si="2"/>
        <v>5.337540545113377E-2</v>
      </c>
      <c r="H19">
        <f t="shared" si="3"/>
        <v>8.1652805839962914E-2</v>
      </c>
      <c r="I19">
        <f t="shared" si="4"/>
        <v>3.920876747095426E-2</v>
      </c>
      <c r="J19">
        <v>2.3134884701472701E-2</v>
      </c>
      <c r="K19">
        <v>-3.25854644247889E-2</v>
      </c>
      <c r="L19">
        <v>-2.9620020960215401E-2</v>
      </c>
      <c r="M19">
        <v>8.2747630907152592E-2</v>
      </c>
      <c r="N19">
        <v>4.0811974221708304E-3</v>
      </c>
    </row>
    <row r="20" spans="1:14" x14ac:dyDescent="0.3">
      <c r="A20" t="s">
        <v>29</v>
      </c>
      <c r="B20">
        <v>2022</v>
      </c>
      <c r="C20">
        <v>6</v>
      </c>
      <c r="D20">
        <v>4.8161779596813843E-2</v>
      </c>
      <c r="E20">
        <v>-2.0986717078811491E-2</v>
      </c>
      <c r="F20">
        <v>-6.8888797783801838E-3</v>
      </c>
      <c r="G20">
        <f t="shared" si="2"/>
        <v>4.412735886093383E-2</v>
      </c>
      <c r="H20">
        <f t="shared" si="3"/>
        <v>-2.5021137814691501E-2</v>
      </c>
      <c r="I20">
        <f t="shared" si="4"/>
        <v>-1.0923300514260194E-2</v>
      </c>
      <c r="J20">
        <v>2.3258911291743601E-3</v>
      </c>
      <c r="K20">
        <v>-2.9635810669667601E-2</v>
      </c>
      <c r="L20">
        <v>1.63984333494589E-2</v>
      </c>
      <c r="M20">
        <v>-4.9347778669585098E-2</v>
      </c>
      <c r="N20">
        <v>4.0344207358800101E-3</v>
      </c>
    </row>
    <row r="21" spans="1:14" x14ac:dyDescent="0.3">
      <c r="A21" t="s">
        <v>30</v>
      </c>
      <c r="B21">
        <v>2022</v>
      </c>
      <c r="C21">
        <v>5</v>
      </c>
      <c r="D21">
        <v>-6.4275225618606074E-2</v>
      </c>
      <c r="E21">
        <v>-2.8561867421838749E-2</v>
      </c>
      <c r="F21">
        <v>-0.1191488828627713</v>
      </c>
      <c r="G21">
        <f t="shared" si="2"/>
        <v>-6.8203709404407648E-2</v>
      </c>
      <c r="H21">
        <f t="shared" si="3"/>
        <v>-3.2490351207640322E-2</v>
      </c>
      <c r="I21">
        <f t="shared" si="4"/>
        <v>-0.12307736664857287</v>
      </c>
      <c r="J21">
        <v>-3.4991566105526804E-2</v>
      </c>
      <c r="K21">
        <v>-2.3027347452362998E-2</v>
      </c>
      <c r="L21">
        <v>-6.0504282273733494E-2</v>
      </c>
      <c r="M21">
        <v>-6.5612817377003405E-2</v>
      </c>
      <c r="N21">
        <v>3.9284837858015696E-3</v>
      </c>
    </row>
    <row r="22" spans="1:14" x14ac:dyDescent="0.3">
      <c r="A22" t="s">
        <v>31</v>
      </c>
      <c r="B22">
        <v>2022</v>
      </c>
      <c r="C22">
        <v>4</v>
      </c>
      <c r="D22">
        <v>5.7415668444290684E-3</v>
      </c>
      <c r="E22">
        <v>-1.495392873600334E-2</v>
      </c>
      <c r="F22">
        <v>-3.9307001294090552E-2</v>
      </c>
      <c r="G22">
        <f t="shared" si="2"/>
        <v>2.6817522983176982E-3</v>
      </c>
      <c r="H22">
        <f t="shared" si="3"/>
        <v>-1.8013743282114709E-2</v>
      </c>
      <c r="I22">
        <f t="shared" si="4"/>
        <v>-4.2366815840201924E-2</v>
      </c>
      <c r="J22">
        <v>2.18108872434635E-2</v>
      </c>
      <c r="K22">
        <v>4.3110937574941402E-2</v>
      </c>
      <c r="L22">
        <v>-2.8991902373232698E-2</v>
      </c>
      <c r="M22">
        <v>1.3974634023991199E-2</v>
      </c>
      <c r="N22">
        <v>3.0598145461113702E-3</v>
      </c>
    </row>
    <row r="23" spans="1:14" x14ac:dyDescent="0.3">
      <c r="A23" t="s">
        <v>32</v>
      </c>
      <c r="B23">
        <v>2022</v>
      </c>
      <c r="C23">
        <v>3</v>
      </c>
      <c r="D23">
        <v>1.917695185105139E-2</v>
      </c>
      <c r="E23">
        <v>8.7382037523060632E-2</v>
      </c>
      <c r="F23">
        <v>3.6809706492580863E-2</v>
      </c>
      <c r="G23">
        <f t="shared" si="2"/>
        <v>1.6026003672572779E-2</v>
      </c>
      <c r="H23">
        <f t="shared" si="3"/>
        <v>8.4231089344582025E-2</v>
      </c>
      <c r="I23">
        <f t="shared" si="4"/>
        <v>3.3658758314102255E-2</v>
      </c>
      <c r="J23">
        <v>2.05045471146241E-2</v>
      </c>
      <c r="K23">
        <v>7.5516028700555208E-3</v>
      </c>
      <c r="L23">
        <v>7.2174932850029599E-2</v>
      </c>
      <c r="M23">
        <v>4.7006549890577398E-2</v>
      </c>
      <c r="N23">
        <v>3.1509481784786097E-3</v>
      </c>
    </row>
    <row r="24" spans="1:14" x14ac:dyDescent="0.3">
      <c r="A24" t="s">
        <v>33</v>
      </c>
      <c r="B24">
        <v>2022</v>
      </c>
      <c r="C24">
        <v>2</v>
      </c>
      <c r="D24">
        <v>-7.8818615377629214E-2</v>
      </c>
      <c r="E24">
        <v>-0.12136822238925631</v>
      </c>
      <c r="F24">
        <v>-7.7297459849746453E-2</v>
      </c>
      <c r="G24">
        <f t="shared" si="2"/>
        <v>-8.1672222974848857E-2</v>
      </c>
      <c r="H24">
        <f t="shared" si="3"/>
        <v>-0.12422182998647595</v>
      </c>
      <c r="I24">
        <f t="shared" si="4"/>
        <v>-8.0151067446966096E-2</v>
      </c>
      <c r="J24">
        <v>-6.8190389978933008E-2</v>
      </c>
      <c r="K24">
        <v>-2.3061333039358201E-2</v>
      </c>
      <c r="L24">
        <v>-1.62792236710648E-2</v>
      </c>
      <c r="M24">
        <v>-4.3261588010989699E-2</v>
      </c>
      <c r="N24">
        <v>2.8536075972196403E-3</v>
      </c>
    </row>
    <row r="25" spans="1:14" x14ac:dyDescent="0.3">
      <c r="A25" t="s">
        <v>34</v>
      </c>
      <c r="B25">
        <v>2022</v>
      </c>
      <c r="C25">
        <v>1</v>
      </c>
      <c r="D25">
        <v>-7.5126158213813729E-3</v>
      </c>
      <c r="E25">
        <v>6.555986477780858E-3</v>
      </c>
      <c r="F25">
        <v>-4.5820262194413923E-2</v>
      </c>
      <c r="G25">
        <f t="shared" si="2"/>
        <v>-1.0542949146911524E-2</v>
      </c>
      <c r="H25">
        <f t="shared" si="3"/>
        <v>3.5256531522507078E-3</v>
      </c>
      <c r="I25">
        <f t="shared" si="4"/>
        <v>-4.8850595519944071E-2</v>
      </c>
      <c r="J25">
        <v>-6.8802951702300295E-3</v>
      </c>
      <c r="K25">
        <v>0.108500673784868</v>
      </c>
      <c r="L25">
        <v>-4.8329066651161502E-3</v>
      </c>
      <c r="M25">
        <v>-1.5658632889265299E-2</v>
      </c>
      <c r="N25">
        <v>3.0303333255301502E-3</v>
      </c>
    </row>
    <row r="26" spans="1:14" x14ac:dyDescent="0.3">
      <c r="A26" t="s">
        <v>35</v>
      </c>
      <c r="B26">
        <v>2021</v>
      </c>
      <c r="C26">
        <v>12</v>
      </c>
      <c r="D26">
        <v>1.2995596702742231E-2</v>
      </c>
      <c r="E26">
        <v>-1.5822367976335079E-2</v>
      </c>
      <c r="F26">
        <v>3.1112229254717721E-2</v>
      </c>
      <c r="G26">
        <f t="shared" si="2"/>
        <v>1.0015923917658301E-2</v>
      </c>
      <c r="H26">
        <f t="shared" si="3"/>
        <v>-1.880204076141901E-2</v>
      </c>
      <c r="I26">
        <f t="shared" si="4"/>
        <v>2.813255646963379E-2</v>
      </c>
      <c r="J26">
        <v>6.0407343437029602E-2</v>
      </c>
      <c r="K26">
        <v>1.1310284123183401E-2</v>
      </c>
      <c r="L26">
        <v>3.4924130921846402E-2</v>
      </c>
      <c r="M26">
        <v>3.8301592457733499E-2</v>
      </c>
      <c r="N26">
        <v>2.9796727850839298E-3</v>
      </c>
    </row>
    <row r="27" spans="1:14" x14ac:dyDescent="0.3">
      <c r="A27" t="s">
        <v>36</v>
      </c>
      <c r="B27">
        <v>2021</v>
      </c>
      <c r="C27">
        <v>11</v>
      </c>
      <c r="D27">
        <v>2.3691974151556331E-2</v>
      </c>
      <c r="E27">
        <v>3.4935300740686279E-2</v>
      </c>
      <c r="F27">
        <v>-3.2846064167151842E-2</v>
      </c>
      <c r="G27">
        <f t="shared" si="2"/>
        <v>2.0619301500899641E-2</v>
      </c>
      <c r="H27">
        <f t="shared" si="3"/>
        <v>3.1862628090029592E-2</v>
      </c>
      <c r="I27">
        <f t="shared" si="4"/>
        <v>-3.5918736817808529E-2</v>
      </c>
      <c r="J27">
        <v>2.0953484010920901E-2</v>
      </c>
      <c r="K27">
        <v>-1.3514898054434099E-2</v>
      </c>
      <c r="L27">
        <v>4.6910488738253403E-2</v>
      </c>
      <c r="M27">
        <v>-9.5443508620058903E-3</v>
      </c>
      <c r="N27">
        <v>3.0726726506566898E-3</v>
      </c>
    </row>
    <row r="28" spans="1:14" x14ac:dyDescent="0.3">
      <c r="A28" t="s">
        <v>37</v>
      </c>
      <c r="B28">
        <v>2021</v>
      </c>
      <c r="C28">
        <v>10</v>
      </c>
      <c r="D28">
        <v>-3.3520896253430559E-3</v>
      </c>
      <c r="E28">
        <v>1.4267726833019349E-2</v>
      </c>
      <c r="F28">
        <v>4.7939156432528773E-2</v>
      </c>
      <c r="G28">
        <f t="shared" si="2"/>
        <v>-6.049053112639256E-3</v>
      </c>
      <c r="H28">
        <f t="shared" si="3"/>
        <v>1.1570763345723149E-2</v>
      </c>
      <c r="I28">
        <f t="shared" si="4"/>
        <v>4.5242192945232573E-2</v>
      </c>
      <c r="J28">
        <v>1.6854276683435601E-2</v>
      </c>
      <c r="K28">
        <v>6.4668442294983893E-3</v>
      </c>
      <c r="L28">
        <v>6.7480874977405195E-2</v>
      </c>
      <c r="M28">
        <v>-1.13381680988276E-2</v>
      </c>
      <c r="N28">
        <v>2.6969634872962001E-3</v>
      </c>
    </row>
    <row r="29" spans="1:14" x14ac:dyDescent="0.3">
      <c r="A29" t="s">
        <v>38</v>
      </c>
      <c r="B29">
        <v>2021</v>
      </c>
      <c r="C29">
        <v>9</v>
      </c>
      <c r="D29">
        <v>5.5419434643315203E-2</v>
      </c>
      <c r="E29">
        <v>2.8763611611620131E-2</v>
      </c>
      <c r="F29">
        <v>0.13138205459626009</v>
      </c>
      <c r="G29">
        <f t="shared" si="2"/>
        <v>5.2741087003775423E-2</v>
      </c>
      <c r="H29">
        <f t="shared" si="3"/>
        <v>2.6085263972080351E-2</v>
      </c>
      <c r="I29">
        <f t="shared" si="4"/>
        <v>0.12870370695672032</v>
      </c>
      <c r="J29">
        <v>-1.61460679442051E-2</v>
      </c>
      <c r="K29">
        <v>0.103893828076939</v>
      </c>
      <c r="L29">
        <v>-2.4761634180306299E-2</v>
      </c>
      <c r="M29">
        <v>4.1871689189304097E-2</v>
      </c>
      <c r="N29">
        <v>2.6783476395397798E-3</v>
      </c>
    </row>
    <row r="30" spans="1:14" x14ac:dyDescent="0.3">
      <c r="A30" t="s">
        <v>39</v>
      </c>
      <c r="B30">
        <v>2021</v>
      </c>
      <c r="C30">
        <v>8</v>
      </c>
      <c r="D30">
        <v>7.7375304575286616E-2</v>
      </c>
      <c r="E30">
        <v>-1.5224452171134341E-2</v>
      </c>
      <c r="F30">
        <v>4.4540027079751137E-3</v>
      </c>
      <c r="G30">
        <f t="shared" si="2"/>
        <v>7.447716236202627E-2</v>
      </c>
      <c r="H30">
        <f t="shared" si="3"/>
        <v>-1.8122594384394692E-2</v>
      </c>
      <c r="I30">
        <f t="shared" si="4"/>
        <v>1.5558604947147636E-3</v>
      </c>
      <c r="J30">
        <v>-8.1047481407258301E-2</v>
      </c>
      <c r="K30">
        <v>-7.1379151501241203E-2</v>
      </c>
      <c r="L30">
        <v>2.8823317916023102E-2</v>
      </c>
      <c r="M30">
        <v>5.6797858164454797E-2</v>
      </c>
      <c r="N30">
        <v>2.8981422132603502E-3</v>
      </c>
    </row>
    <row r="31" spans="1:14" x14ac:dyDescent="0.3">
      <c r="A31" t="s">
        <v>40</v>
      </c>
      <c r="B31">
        <v>2021</v>
      </c>
      <c r="C31">
        <v>7</v>
      </c>
      <c r="D31">
        <v>-2.468242765513573E-2</v>
      </c>
      <c r="E31">
        <v>5.4209178953221566E-3</v>
      </c>
      <c r="F31">
        <v>-4.4831527543314889E-2</v>
      </c>
      <c r="G31">
        <f t="shared" si="2"/>
        <v>-2.7458004565830699E-2</v>
      </c>
      <c r="H31">
        <f t="shared" si="3"/>
        <v>2.6453409846271866E-3</v>
      </c>
      <c r="I31">
        <f t="shared" si="4"/>
        <v>-4.7607104454009862E-2</v>
      </c>
      <c r="J31">
        <v>5.2968552158752596E-2</v>
      </c>
      <c r="K31">
        <v>7.1290449105865891E-2</v>
      </c>
      <c r="L31">
        <v>3.9149661437329702E-2</v>
      </c>
      <c r="M31">
        <v>1.7369322709816198E-2</v>
      </c>
      <c r="N31">
        <v>2.77557691069497E-3</v>
      </c>
    </row>
    <row r="32" spans="1:14" x14ac:dyDescent="0.3">
      <c r="A32" t="s">
        <v>41</v>
      </c>
      <c r="B32">
        <v>2021</v>
      </c>
      <c r="C32">
        <v>6</v>
      </c>
      <c r="D32">
        <v>6.9611065592136159E-2</v>
      </c>
      <c r="E32">
        <v>6.8289591708819639E-2</v>
      </c>
      <c r="F32">
        <v>2.176096067199635E-2</v>
      </c>
      <c r="G32">
        <f t="shared" si="2"/>
        <v>6.6832672576719779E-2</v>
      </c>
      <c r="H32">
        <f t="shared" si="3"/>
        <v>6.5511198693403258E-2</v>
      </c>
      <c r="I32">
        <f t="shared" si="4"/>
        <v>1.898256765657997E-2</v>
      </c>
      <c r="J32">
        <v>7.8133589421519198E-2</v>
      </c>
      <c r="K32">
        <v>4.3821413231884196E-2</v>
      </c>
      <c r="L32">
        <v>-1.6724746812787503E-2</v>
      </c>
      <c r="M32">
        <v>3.0546572057172303E-2</v>
      </c>
      <c r="N32">
        <v>2.7783930154163801E-3</v>
      </c>
    </row>
    <row r="33" spans="1:14" x14ac:dyDescent="0.3">
      <c r="A33" t="s">
        <v>42</v>
      </c>
      <c r="B33">
        <v>2021</v>
      </c>
      <c r="C33">
        <v>5</v>
      </c>
      <c r="D33">
        <v>-1.568839888962828E-2</v>
      </c>
      <c r="E33">
        <v>8.3109797804922954E-3</v>
      </c>
      <c r="F33">
        <v>-7.8422020856423382E-3</v>
      </c>
      <c r="G33">
        <f t="shared" si="2"/>
        <v>-1.849670338935475E-2</v>
      </c>
      <c r="H33">
        <f t="shared" si="3"/>
        <v>5.5026752807658258E-3</v>
      </c>
      <c r="I33">
        <f t="shared" si="4"/>
        <v>-1.0650506585368808E-2</v>
      </c>
      <c r="J33">
        <v>5.1217180892495696E-2</v>
      </c>
      <c r="K33">
        <v>2.3088182636932002E-2</v>
      </c>
      <c r="L33">
        <v>2.1200916469419403E-3</v>
      </c>
      <c r="M33">
        <v>7.4275526008836093E-2</v>
      </c>
      <c r="N33">
        <v>2.80830449972647E-3</v>
      </c>
    </row>
    <row r="34" spans="1:14" x14ac:dyDescent="0.3">
      <c r="A34" t="s">
        <v>43</v>
      </c>
      <c r="B34">
        <v>2021</v>
      </c>
      <c r="C34">
        <v>4</v>
      </c>
      <c r="D34">
        <v>-1.733022738609384E-3</v>
      </c>
      <c r="E34">
        <v>3.2292459568548697E-2</v>
      </c>
      <c r="F34">
        <v>4.0872620835783642E-2</v>
      </c>
      <c r="G34">
        <f t="shared" si="2"/>
        <v>-4.4330836724059842E-3</v>
      </c>
      <c r="H34">
        <f t="shared" si="3"/>
        <v>2.9592398634752097E-2</v>
      </c>
      <c r="I34">
        <f t="shared" si="4"/>
        <v>3.8172559901987042E-2</v>
      </c>
      <c r="J34">
        <v>6.8645387695498404E-3</v>
      </c>
      <c r="K34">
        <v>0.105584423335864</v>
      </c>
      <c r="L34">
        <v>5.7965950344661198E-2</v>
      </c>
      <c r="M34">
        <v>1.4509421829481901E-2</v>
      </c>
      <c r="N34">
        <v>2.7000609337965997E-3</v>
      </c>
    </row>
    <row r="35" spans="1:14" x14ac:dyDescent="0.3">
      <c r="A35" t="s">
        <v>44</v>
      </c>
      <c r="B35">
        <v>2021</v>
      </c>
      <c r="C35">
        <v>3</v>
      </c>
      <c r="D35">
        <v>-3.0409933486121352E-2</v>
      </c>
      <c r="E35">
        <v>-5.1705591890406577E-2</v>
      </c>
      <c r="F35">
        <v>-4.8834421082333997E-2</v>
      </c>
      <c r="G35">
        <f t="shared" si="2"/>
        <v>-3.3307925336725594E-2</v>
      </c>
      <c r="H35">
        <f t="shared" si="3"/>
        <v>-5.4603583741010819E-2</v>
      </c>
      <c r="I35">
        <f t="shared" si="4"/>
        <v>-5.1732412932938239E-2</v>
      </c>
      <c r="J35">
        <v>-2.6946604635753803E-2</v>
      </c>
      <c r="K35">
        <v>-1.9274214381645699E-2</v>
      </c>
      <c r="L35">
        <v>3.49484287439559E-2</v>
      </c>
      <c r="M35">
        <v>2.9889286315414498E-2</v>
      </c>
      <c r="N35">
        <v>2.8979918506042402E-3</v>
      </c>
    </row>
    <row r="36" spans="1:14" x14ac:dyDescent="0.3">
      <c r="A36" t="s">
        <v>45</v>
      </c>
      <c r="B36">
        <v>2021</v>
      </c>
      <c r="C36">
        <v>2</v>
      </c>
      <c r="D36">
        <v>-3.567466523316596E-2</v>
      </c>
      <c r="E36">
        <v>-4.3780218392860247E-2</v>
      </c>
      <c r="F36">
        <v>-2.758716432266967E-2</v>
      </c>
      <c r="G36">
        <f t="shared" si="2"/>
        <v>-3.8163854558691181E-2</v>
      </c>
      <c r="H36">
        <f t="shared" si="3"/>
        <v>-4.6269407718385468E-2</v>
      </c>
      <c r="I36">
        <f t="shared" si="4"/>
        <v>-3.007635364819489E-2</v>
      </c>
      <c r="J36">
        <v>-3.7331547996922503E-2</v>
      </c>
      <c r="K36">
        <v>0.113499060444245</v>
      </c>
      <c r="L36">
        <v>2.7685560440564999E-2</v>
      </c>
      <c r="M36">
        <v>6.2097396862584003E-2</v>
      </c>
      <c r="N36">
        <v>2.4891893255252202E-3</v>
      </c>
    </row>
    <row r="37" spans="1:14" x14ac:dyDescent="0.3">
      <c r="A37" t="s">
        <v>46</v>
      </c>
      <c r="B37">
        <v>2021</v>
      </c>
      <c r="C37">
        <v>1</v>
      </c>
      <c r="D37">
        <v>-1.3966707662317741E-2</v>
      </c>
      <c r="E37">
        <v>-6.3827271242184153E-2</v>
      </c>
      <c r="F37">
        <v>-5.6686074712234323E-2</v>
      </c>
      <c r="G37">
        <f t="shared" si="2"/>
        <v>-1.646698010615584E-2</v>
      </c>
      <c r="H37">
        <f t="shared" si="3"/>
        <v>-6.6327543686022256E-2</v>
      </c>
      <c r="I37">
        <f t="shared" si="4"/>
        <v>-5.9186347156072426E-2</v>
      </c>
      <c r="J37">
        <v>5.9219513052146703E-3</v>
      </c>
      <c r="K37">
        <v>-2.5540175890501803E-2</v>
      </c>
      <c r="L37">
        <v>-1.7755214323820899E-2</v>
      </c>
      <c r="M37">
        <v>-7.8431175679141204E-3</v>
      </c>
      <c r="N37">
        <v>2.5002724438381004E-3</v>
      </c>
    </row>
    <row r="38" spans="1:14" x14ac:dyDescent="0.3">
      <c r="A38" t="s">
        <v>47</v>
      </c>
      <c r="B38">
        <v>2020</v>
      </c>
      <c r="C38">
        <v>12</v>
      </c>
      <c r="D38">
        <v>-1.3709740983847789E-2</v>
      </c>
      <c r="E38">
        <v>8.2621822545940124E-2</v>
      </c>
      <c r="F38">
        <v>6.7959116686001048E-2</v>
      </c>
      <c r="G38">
        <f t="shared" si="2"/>
        <v>-1.6531061195708779E-2</v>
      </c>
      <c r="H38">
        <f t="shared" si="3"/>
        <v>7.9800502334079135E-2</v>
      </c>
      <c r="I38">
        <f t="shared" si="4"/>
        <v>6.5137796474140058E-2</v>
      </c>
      <c r="J38">
        <v>1.83052873077389E-2</v>
      </c>
      <c r="K38">
        <v>0.10279458465920399</v>
      </c>
      <c r="L38">
        <v>-3.7509731931335201E-2</v>
      </c>
      <c r="M38">
        <v>8.0528510174735501E-2</v>
      </c>
      <c r="N38">
        <v>2.8213202118609897E-3</v>
      </c>
    </row>
    <row r="39" spans="1:14" x14ac:dyDescent="0.3">
      <c r="A39" t="s">
        <v>48</v>
      </c>
      <c r="B39">
        <v>2020</v>
      </c>
      <c r="C39">
        <v>11</v>
      </c>
      <c r="D39">
        <v>-3.7814900890423539E-2</v>
      </c>
      <c r="E39">
        <v>-6.8541045550073783E-6</v>
      </c>
      <c r="F39">
        <v>4.3497329595770962E-2</v>
      </c>
      <c r="G39">
        <f t="shared" si="2"/>
        <v>-4.0161181641203227E-2</v>
      </c>
      <c r="H39">
        <f t="shared" si="3"/>
        <v>-2.3531348553346978E-3</v>
      </c>
      <c r="I39">
        <f t="shared" si="4"/>
        <v>4.1151048844991274E-2</v>
      </c>
      <c r="J39">
        <v>-3.4368114793990497E-2</v>
      </c>
      <c r="K39">
        <v>0.100669733339524</v>
      </c>
      <c r="L39">
        <v>-8.1988202489499007E-2</v>
      </c>
      <c r="M39">
        <v>7.0189823014477307E-2</v>
      </c>
      <c r="N39">
        <v>2.3462807507796902E-3</v>
      </c>
    </row>
    <row r="40" spans="1:14" x14ac:dyDescent="0.3">
      <c r="A40" t="s">
        <v>49</v>
      </c>
      <c r="B40">
        <v>2020</v>
      </c>
      <c r="C40">
        <v>10</v>
      </c>
      <c r="D40">
        <v>8.5127606772190528E-2</v>
      </c>
      <c r="E40">
        <v>5.685161775074337E-2</v>
      </c>
      <c r="F40">
        <v>8.6307939476388568E-2</v>
      </c>
      <c r="G40">
        <f t="shared" si="2"/>
        <v>8.2487023089460848E-2</v>
      </c>
      <c r="H40">
        <f t="shared" si="3"/>
        <v>5.421103406801369E-2</v>
      </c>
      <c r="I40">
        <f t="shared" si="4"/>
        <v>8.3667355793658887E-2</v>
      </c>
      <c r="J40">
        <v>3.2518116398394499E-3</v>
      </c>
      <c r="K40">
        <v>-1.4507090239521301E-2</v>
      </c>
      <c r="L40">
        <v>-1.6434645607726901E-3</v>
      </c>
      <c r="M40">
        <v>4.1858925832121106E-3</v>
      </c>
      <c r="N40">
        <v>2.6405836827296802E-3</v>
      </c>
    </row>
    <row r="41" spans="1:14" x14ac:dyDescent="0.3">
      <c r="A41" t="s">
        <v>50</v>
      </c>
      <c r="B41">
        <v>2020</v>
      </c>
      <c r="C41">
        <v>9</v>
      </c>
      <c r="D41">
        <v>5.563913981042997E-2</v>
      </c>
      <c r="E41">
        <v>-1.9597545821233981E-2</v>
      </c>
      <c r="F41">
        <v>3.5921853551640973E-2</v>
      </c>
      <c r="G41">
        <f t="shared" si="2"/>
        <v>5.2990745084130778E-2</v>
      </c>
      <c r="H41">
        <f t="shared" si="3"/>
        <v>-2.224594054753317E-2</v>
      </c>
      <c r="I41">
        <f t="shared" si="4"/>
        <v>3.327345882534178E-2</v>
      </c>
      <c r="J41">
        <v>2.6791907307930799E-2</v>
      </c>
      <c r="K41">
        <v>-8.4030176725732902E-2</v>
      </c>
      <c r="L41">
        <v>9.1008235150122907E-2</v>
      </c>
      <c r="M41">
        <v>2.23664316875429E-2</v>
      </c>
      <c r="N41">
        <v>2.6483947262991902E-3</v>
      </c>
    </row>
    <row r="42" spans="1:14" x14ac:dyDescent="0.3">
      <c r="A42" t="s">
        <v>51</v>
      </c>
      <c r="B42">
        <v>2020</v>
      </c>
      <c r="C42">
        <v>8</v>
      </c>
      <c r="D42">
        <v>0.1099112585080082</v>
      </c>
      <c r="E42">
        <v>0.12236937595358929</v>
      </c>
      <c r="F42">
        <v>9.8799667242557981E-2</v>
      </c>
      <c r="G42">
        <f t="shared" si="2"/>
        <v>0.10719787312147733</v>
      </c>
      <c r="H42">
        <f t="shared" si="3"/>
        <v>0.11965599056705842</v>
      </c>
      <c r="I42">
        <f t="shared" si="4"/>
        <v>9.6086281856027106E-2</v>
      </c>
      <c r="J42">
        <v>7.2068672088375904E-2</v>
      </c>
      <c r="K42">
        <v>4.95276675777023E-2</v>
      </c>
      <c r="L42">
        <v>-8.3812357336178298E-2</v>
      </c>
      <c r="M42">
        <v>3.1318189166445104E-2</v>
      </c>
      <c r="N42">
        <v>2.7133853865308798E-3</v>
      </c>
    </row>
    <row r="43" spans="1:14" x14ac:dyDescent="0.3">
      <c r="A43" t="s">
        <v>52</v>
      </c>
      <c r="B43">
        <v>2020</v>
      </c>
      <c r="C43">
        <v>7</v>
      </c>
      <c r="D43">
        <v>1.7848812943430829E-2</v>
      </c>
      <c r="E43">
        <v>5.5195496639902558E-2</v>
      </c>
      <c r="F43">
        <v>5.3315362734257479E-2</v>
      </c>
      <c r="G43">
        <f t="shared" si="2"/>
        <v>1.5168808660340038E-2</v>
      </c>
      <c r="H43">
        <f t="shared" si="3"/>
        <v>5.2515492356811772E-2</v>
      </c>
      <c r="I43">
        <f t="shared" si="4"/>
        <v>5.0635358451166693E-2</v>
      </c>
      <c r="J43">
        <v>-2.9890769587299002E-2</v>
      </c>
      <c r="K43">
        <v>-4.2776346570017901E-2</v>
      </c>
      <c r="L43">
        <v>4.3414782042244103E-2</v>
      </c>
      <c r="M43">
        <v>7.1065474560254596E-2</v>
      </c>
      <c r="N43">
        <v>2.6800042830907901E-3</v>
      </c>
    </row>
    <row r="44" spans="1:14" x14ac:dyDescent="0.3">
      <c r="A44" t="s">
        <v>53</v>
      </c>
      <c r="B44">
        <v>2020</v>
      </c>
      <c r="C44">
        <v>6</v>
      </c>
      <c r="D44">
        <v>1.0724214285291011E-2</v>
      </c>
      <c r="E44">
        <v>2.9349498164705098E-2</v>
      </c>
      <c r="F44">
        <v>6.1683622122411207E-2</v>
      </c>
      <c r="G44">
        <f t="shared" si="2"/>
        <v>7.8788000466656211E-3</v>
      </c>
      <c r="H44">
        <f t="shared" si="3"/>
        <v>2.6504083926079707E-2</v>
      </c>
      <c r="I44">
        <f t="shared" si="4"/>
        <v>5.8838207883785819E-2</v>
      </c>
      <c r="J44">
        <v>8.8769795097260615E-2</v>
      </c>
      <c r="K44">
        <v>0.13614091674074399</v>
      </c>
      <c r="L44">
        <v>-5.8271184342332402E-2</v>
      </c>
      <c r="M44">
        <v>7.72021315126976E-2</v>
      </c>
      <c r="N44">
        <v>2.84541423862539E-3</v>
      </c>
    </row>
    <row r="45" spans="1:14" x14ac:dyDescent="0.3">
      <c r="A45" t="s">
        <v>54</v>
      </c>
      <c r="B45">
        <v>2020</v>
      </c>
      <c r="C45">
        <v>5</v>
      </c>
      <c r="D45">
        <v>-1.924938840095803E-3</v>
      </c>
      <c r="E45">
        <v>1.2498692953134421E-2</v>
      </c>
      <c r="F45">
        <v>2.7032213157494371E-2</v>
      </c>
      <c r="G45">
        <f t="shared" si="2"/>
        <v>-4.6286853167981524E-3</v>
      </c>
      <c r="H45">
        <f t="shared" si="3"/>
        <v>9.7949464764320714E-3</v>
      </c>
      <c r="I45">
        <f t="shared" si="4"/>
        <v>2.432846668079202E-2</v>
      </c>
      <c r="J45">
        <v>-4.8460103660532099E-2</v>
      </c>
      <c r="K45">
        <v>1.02427436565951E-2</v>
      </c>
      <c r="L45">
        <v>9.5953069178060808E-3</v>
      </c>
      <c r="M45">
        <v>4.8871049140519797E-3</v>
      </c>
      <c r="N45">
        <v>2.7037464767023498E-3</v>
      </c>
    </row>
    <row r="46" spans="1:14" x14ac:dyDescent="0.3">
      <c r="A46" t="s">
        <v>55</v>
      </c>
      <c r="B46">
        <v>2020</v>
      </c>
      <c r="C46">
        <v>4</v>
      </c>
      <c r="D46">
        <v>-3.2759127270439621E-2</v>
      </c>
      <c r="E46">
        <v>-4.164479079240091E-2</v>
      </c>
      <c r="F46">
        <v>-0.12537296655451019</v>
      </c>
      <c r="G46">
        <f t="shared" si="2"/>
        <v>-3.6084524423174794E-2</v>
      </c>
      <c r="H46">
        <f t="shared" si="3"/>
        <v>-4.4970187945136082E-2</v>
      </c>
      <c r="I46">
        <f t="shared" si="4"/>
        <v>-0.12869836370724536</v>
      </c>
      <c r="J46">
        <v>1.9697767561202201E-2</v>
      </c>
      <c r="K46">
        <v>7.1200054526719694E-2</v>
      </c>
      <c r="L46">
        <v>-0.13484765144501298</v>
      </c>
      <c r="M46">
        <v>0.13884991081058701</v>
      </c>
      <c r="N46">
        <v>3.3253971527351699E-3</v>
      </c>
    </row>
    <row r="47" spans="1:14" x14ac:dyDescent="0.3">
      <c r="A47" t="s">
        <v>56</v>
      </c>
      <c r="B47">
        <v>2020</v>
      </c>
      <c r="C47">
        <v>3</v>
      </c>
      <c r="D47">
        <v>2.3288017127499571E-2</v>
      </c>
      <c r="E47">
        <v>1.5284190960787531E-2</v>
      </c>
      <c r="F47">
        <v>1.9805370850159269E-2</v>
      </c>
      <c r="G47">
        <f t="shared" si="2"/>
        <v>1.903737296823977E-2</v>
      </c>
      <c r="H47">
        <f t="shared" si="3"/>
        <v>1.1033546801527731E-2</v>
      </c>
      <c r="I47">
        <f t="shared" si="4"/>
        <v>1.5554726690899467E-2</v>
      </c>
      <c r="J47">
        <v>-0.14088354874020101</v>
      </c>
      <c r="K47">
        <v>-8.2935748825358799E-2</v>
      </c>
      <c r="L47">
        <v>0.137662365228124</v>
      </c>
      <c r="M47">
        <v>-0.188097797156518</v>
      </c>
      <c r="N47">
        <v>4.2506441592598003E-3</v>
      </c>
    </row>
    <row r="48" spans="1:14" x14ac:dyDescent="0.3">
      <c r="A48" t="s">
        <v>57</v>
      </c>
      <c r="B48">
        <v>2020</v>
      </c>
      <c r="C48">
        <v>2</v>
      </c>
      <c r="D48">
        <v>-1.2657659156682891E-2</v>
      </c>
      <c r="E48">
        <v>6.5562842023395046E-2</v>
      </c>
      <c r="F48">
        <v>6.385625143846993E-2</v>
      </c>
      <c r="G48">
        <f t="shared" si="2"/>
        <v>-1.6476084889518201E-2</v>
      </c>
      <c r="H48">
        <f t="shared" si="3"/>
        <v>6.1744416290559739E-2</v>
      </c>
      <c r="I48">
        <f t="shared" si="4"/>
        <v>6.0037825705634623E-2</v>
      </c>
      <c r="J48">
        <v>-8.0557542241559404E-3</v>
      </c>
      <c r="K48">
        <v>-9.3678880294403188E-2</v>
      </c>
      <c r="L48">
        <v>0.10858992928962101</v>
      </c>
      <c r="M48">
        <v>-6.3181009071994296E-2</v>
      </c>
      <c r="N48">
        <v>3.8184257328353101E-3</v>
      </c>
    </row>
    <row r="49" spans="1:14" x14ac:dyDescent="0.3">
      <c r="A49" t="s">
        <v>58</v>
      </c>
      <c r="B49">
        <v>2020</v>
      </c>
      <c r="C49">
        <v>1</v>
      </c>
      <c r="D49">
        <v>2.2206423116135559E-2</v>
      </c>
      <c r="E49">
        <v>1.322017026439005E-2</v>
      </c>
      <c r="F49">
        <v>6.8459352110334895E-2</v>
      </c>
      <c r="G49">
        <f t="shared" si="2"/>
        <v>1.8004514641184619E-2</v>
      </c>
      <c r="H49">
        <f t="shared" si="3"/>
        <v>9.0182617894391092E-3</v>
      </c>
      <c r="I49">
        <f t="shared" si="4"/>
        <v>6.4257443635383951E-2</v>
      </c>
      <c r="J49">
        <v>8.895496514149491E-2</v>
      </c>
      <c r="K49">
        <v>-3.0257788199520599E-2</v>
      </c>
      <c r="L49">
        <v>7.885345822916669E-3</v>
      </c>
      <c r="M49">
        <v>9.0471867789925203E-3</v>
      </c>
      <c r="N49">
        <v>4.2019084749509404E-3</v>
      </c>
    </row>
    <row r="50" spans="1:14" x14ac:dyDescent="0.3">
      <c r="A50" t="s">
        <v>59</v>
      </c>
      <c r="B50">
        <v>2019</v>
      </c>
      <c r="C50">
        <v>12</v>
      </c>
      <c r="D50">
        <v>3.7488699613717737E-2</v>
      </c>
      <c r="E50">
        <v>2.344566173524542E-2</v>
      </c>
      <c r="F50">
        <v>8.071199595792139E-3</v>
      </c>
      <c r="G50">
        <f t="shared" si="2"/>
        <v>3.3221440695621635E-2</v>
      </c>
      <c r="H50">
        <f t="shared" si="3"/>
        <v>1.9178402817149318E-2</v>
      </c>
      <c r="I50">
        <f t="shared" si="4"/>
        <v>3.8039406776960386E-3</v>
      </c>
      <c r="J50">
        <v>-1.1386790450480199E-2</v>
      </c>
      <c r="K50">
        <v>-6.9431465068847708E-4</v>
      </c>
      <c r="L50">
        <v>1.9477135821286198E-2</v>
      </c>
      <c r="M50">
        <v>-2.8237569702772602E-3</v>
      </c>
      <c r="N50">
        <v>4.2672589180961003E-3</v>
      </c>
    </row>
    <row r="51" spans="1:14" x14ac:dyDescent="0.3">
      <c r="A51" t="s">
        <v>60</v>
      </c>
      <c r="B51">
        <v>2019</v>
      </c>
      <c r="C51">
        <v>11</v>
      </c>
      <c r="D51">
        <v>1.9198252935469839E-2</v>
      </c>
      <c r="E51">
        <v>-2.5684887471711659E-3</v>
      </c>
      <c r="F51">
        <v>-1.0101882741757721E-2</v>
      </c>
      <c r="G51">
        <f t="shared" si="2"/>
        <v>1.529271907296581E-2</v>
      </c>
      <c r="H51">
        <f t="shared" si="3"/>
        <v>-6.4740226096751952E-3</v>
      </c>
      <c r="I51">
        <f t="shared" si="4"/>
        <v>-1.400741660426175E-2</v>
      </c>
      <c r="J51">
        <v>-3.2600404090436998E-2</v>
      </c>
      <c r="K51">
        <v>5.0560957113033905E-2</v>
      </c>
      <c r="L51">
        <v>-8.890504848309741E-2</v>
      </c>
      <c r="M51">
        <v>-1.8626988803340599E-2</v>
      </c>
      <c r="N51">
        <v>3.9055338625040297E-3</v>
      </c>
    </row>
    <row r="52" spans="1:14" x14ac:dyDescent="0.3">
      <c r="A52" t="s">
        <v>61</v>
      </c>
      <c r="B52">
        <v>2019</v>
      </c>
      <c r="C52">
        <v>10</v>
      </c>
      <c r="D52">
        <v>-2.8750710026636522E-2</v>
      </c>
      <c r="E52">
        <v>2.410059287674619E-2</v>
      </c>
      <c r="F52">
        <v>7.6233962588556411E-3</v>
      </c>
      <c r="G52">
        <f t="shared" si="2"/>
        <v>-3.3054338989887279E-2</v>
      </c>
      <c r="H52">
        <f t="shared" si="3"/>
        <v>1.9796963913495429E-2</v>
      </c>
      <c r="I52">
        <f t="shared" si="4"/>
        <v>3.3197672956048812E-3</v>
      </c>
      <c r="J52">
        <v>-3.28587185432717E-2</v>
      </c>
      <c r="K52">
        <v>-2.3597479594032099E-2</v>
      </c>
      <c r="L52">
        <v>5.47190414230301E-2</v>
      </c>
      <c r="M52">
        <v>4.0318577531801798E-2</v>
      </c>
      <c r="N52">
        <v>4.3036289632507599E-3</v>
      </c>
    </row>
    <row r="53" spans="1:14" x14ac:dyDescent="0.3">
      <c r="A53" t="s">
        <v>62</v>
      </c>
      <c r="B53">
        <v>2019</v>
      </c>
      <c r="C53">
        <v>9</v>
      </c>
      <c r="D53">
        <v>6.9528213242394027E-2</v>
      </c>
      <c r="E53">
        <v>9.066965642829071E-4</v>
      </c>
      <c r="F53">
        <v>3.2654200431837463E-2</v>
      </c>
      <c r="G53">
        <f t="shared" si="2"/>
        <v>6.5094428383956321E-2</v>
      </c>
      <c r="H53">
        <f t="shared" si="3"/>
        <v>-3.5270882941548024E-3</v>
      </c>
      <c r="I53">
        <f t="shared" si="4"/>
        <v>2.8220415573399753E-2</v>
      </c>
      <c r="J53">
        <v>-3.1701016635602404E-3</v>
      </c>
      <c r="K53">
        <v>1.8595957873329901E-2</v>
      </c>
      <c r="L53">
        <v>-2.5461154042473101E-2</v>
      </c>
      <c r="M53">
        <v>4.22990547679283E-2</v>
      </c>
      <c r="N53">
        <v>4.4337848584377094E-3</v>
      </c>
    </row>
    <row r="54" spans="1:14" x14ac:dyDescent="0.3">
      <c r="A54" t="s">
        <v>63</v>
      </c>
      <c r="B54">
        <v>2019</v>
      </c>
      <c r="C54">
        <v>8</v>
      </c>
      <c r="D54">
        <v>8.5928379328078938E-2</v>
      </c>
      <c r="E54">
        <v>6.8076924504225242E-2</v>
      </c>
      <c r="F54">
        <v>0.1100890731858791</v>
      </c>
      <c r="G54">
        <f t="shared" si="2"/>
        <v>8.1520102787416601E-2</v>
      </c>
      <c r="H54">
        <f t="shared" si="3"/>
        <v>6.3668647963562905E-2</v>
      </c>
      <c r="I54">
        <f t="shared" si="4"/>
        <v>0.10568079664521676</v>
      </c>
      <c r="J54">
        <v>1.5230570783924E-3</v>
      </c>
      <c r="K54">
        <v>-9.6753184758805913E-2</v>
      </c>
      <c r="L54">
        <v>6.9687212673358798E-2</v>
      </c>
      <c r="M54">
        <v>6.8933891982148098E-4</v>
      </c>
      <c r="N54">
        <v>4.4082765406623396E-3</v>
      </c>
    </row>
    <row r="55" spans="1:14" x14ac:dyDescent="0.3">
      <c r="A55" t="s">
        <v>64</v>
      </c>
      <c r="B55">
        <v>2019</v>
      </c>
      <c r="C55">
        <v>7</v>
      </c>
      <c r="D55">
        <v>6.0961475245934572E-2</v>
      </c>
      <c r="E55">
        <v>5.20014098600892E-2</v>
      </c>
      <c r="F55">
        <v>3.572338835501223E-2</v>
      </c>
      <c r="G55">
        <f t="shared" si="2"/>
        <v>5.5804004110524469E-2</v>
      </c>
      <c r="H55">
        <f t="shared" si="3"/>
        <v>4.6843938724679096E-2</v>
      </c>
      <c r="I55">
        <f t="shared" si="4"/>
        <v>3.056591721960213E-2</v>
      </c>
      <c r="J55">
        <v>-5.1485978851754995E-2</v>
      </c>
      <c r="K55">
        <v>-6.6402271394366205E-2</v>
      </c>
      <c r="L55">
        <v>0.11488703179441799</v>
      </c>
      <c r="M55">
        <v>-6.7473007920846401E-2</v>
      </c>
      <c r="N55">
        <v>5.1574711354101001E-3</v>
      </c>
    </row>
    <row r="56" spans="1:14" x14ac:dyDescent="0.3">
      <c r="A56" t="s">
        <v>65</v>
      </c>
      <c r="B56">
        <v>2019</v>
      </c>
      <c r="C56">
        <v>6</v>
      </c>
      <c r="D56">
        <v>1.358132361769023E-2</v>
      </c>
      <c r="E56">
        <v>1.315148705316199E-2</v>
      </c>
      <c r="F56">
        <v>-8.1018116148965341E-2</v>
      </c>
      <c r="G56">
        <f t="shared" si="2"/>
        <v>9.0795522344628496E-3</v>
      </c>
      <c r="H56">
        <f t="shared" si="3"/>
        <v>8.6497156699346101E-3</v>
      </c>
      <c r="I56">
        <f t="shared" si="4"/>
        <v>-8.5519887532192723E-2</v>
      </c>
      <c r="J56">
        <v>-5.8395324961834E-2</v>
      </c>
      <c r="K56">
        <v>-3.5441305012808601E-2</v>
      </c>
      <c r="L56">
        <v>7.2419985463965594E-2</v>
      </c>
      <c r="M56">
        <v>-2.3656831378723701E-2</v>
      </c>
      <c r="N56">
        <v>4.5017713832273794E-3</v>
      </c>
    </row>
    <row r="57" spans="1:14" x14ac:dyDescent="0.3">
      <c r="A57" t="s">
        <v>66</v>
      </c>
      <c r="B57">
        <v>2019</v>
      </c>
      <c r="C57">
        <v>5</v>
      </c>
      <c r="D57">
        <v>-3.1122264496214219E-2</v>
      </c>
      <c r="E57">
        <v>-6.7082012160611132E-2</v>
      </c>
      <c r="F57">
        <v>-2.2452239828953641E-2</v>
      </c>
      <c r="G57">
        <f t="shared" si="2"/>
        <v>-3.6403728119564237E-2</v>
      </c>
      <c r="H57">
        <f t="shared" si="3"/>
        <v>-7.2363475783961156E-2</v>
      </c>
      <c r="I57">
        <f t="shared" si="4"/>
        <v>-2.7733703452303662E-2</v>
      </c>
      <c r="J57">
        <v>2.09010920639527E-2</v>
      </c>
      <c r="K57">
        <v>-9.3226836407974707E-3</v>
      </c>
      <c r="L57">
        <v>2.8874364170779598E-2</v>
      </c>
      <c r="M57">
        <v>-9.7191503617828408E-3</v>
      </c>
      <c r="N57">
        <v>5.2814636233500202E-3</v>
      </c>
    </row>
    <row r="58" spans="1:14" x14ac:dyDescent="0.3">
      <c r="A58" t="s">
        <v>67</v>
      </c>
      <c r="B58">
        <v>2019</v>
      </c>
      <c r="C58">
        <v>4</v>
      </c>
      <c r="D58">
        <v>5.58433042437817E-2</v>
      </c>
      <c r="E58">
        <v>8.3747560703776799E-2</v>
      </c>
      <c r="F58">
        <v>3.9222954631511299E-2</v>
      </c>
      <c r="G58">
        <f t="shared" si="2"/>
        <v>5.0473632409485547E-2</v>
      </c>
      <c r="H58">
        <f t="shared" si="3"/>
        <v>7.8377888869480647E-2</v>
      </c>
      <c r="I58">
        <f t="shared" si="4"/>
        <v>3.3853282797215146E-2</v>
      </c>
      <c r="J58">
        <v>-2.84830401951672E-2</v>
      </c>
      <c r="K58">
        <v>-1.6729900139757902E-2</v>
      </c>
      <c r="L58">
        <v>2.7046321895275199E-2</v>
      </c>
      <c r="M58">
        <v>4.1099510146871401E-3</v>
      </c>
      <c r="N58">
        <v>5.3696718342961499E-3</v>
      </c>
    </row>
    <row r="59" spans="1:14" x14ac:dyDescent="0.3">
      <c r="A59" t="s">
        <v>68</v>
      </c>
      <c r="B59">
        <v>2019</v>
      </c>
      <c r="C59">
        <v>3</v>
      </c>
      <c r="D59">
        <v>-4.650719677576352E-3</v>
      </c>
      <c r="E59">
        <v>-1.87715485045176E-2</v>
      </c>
      <c r="F59">
        <v>4.6309358643444543E-2</v>
      </c>
      <c r="G59">
        <f t="shared" si="2"/>
        <v>-9.5609088454159316E-3</v>
      </c>
      <c r="H59">
        <f t="shared" si="3"/>
        <v>-2.3681737672357178E-2</v>
      </c>
      <c r="I59">
        <f t="shared" si="4"/>
        <v>4.1399169475604965E-2</v>
      </c>
      <c r="J59">
        <v>1.8463936111807099E-2</v>
      </c>
      <c r="K59">
        <v>9.2548937271053101E-3</v>
      </c>
      <c r="L59">
        <v>-2.64270849161021E-2</v>
      </c>
      <c r="M59">
        <v>5.5363974271269004E-2</v>
      </c>
      <c r="N59">
        <v>4.9101891678395796E-3</v>
      </c>
    </row>
    <row r="60" spans="1:14" x14ac:dyDescent="0.3">
      <c r="A60" t="s">
        <v>69</v>
      </c>
      <c r="B60">
        <v>2019</v>
      </c>
      <c r="C60">
        <v>2</v>
      </c>
      <c r="D60">
        <v>6.3564404317146009E-2</v>
      </c>
      <c r="E60">
        <v>9.6181235971607673E-2</v>
      </c>
      <c r="F60">
        <v>8.713705319103883E-2</v>
      </c>
      <c r="G60">
        <f t="shared" si="2"/>
        <v>5.8743469240292459E-2</v>
      </c>
      <c r="H60">
        <f t="shared" si="3"/>
        <v>9.1360300894754123E-2</v>
      </c>
      <c r="I60">
        <f t="shared" si="4"/>
        <v>8.231611811418528E-2</v>
      </c>
      <c r="J60">
        <v>-4.9338478269102495E-2</v>
      </c>
      <c r="K60">
        <v>-4.4171624329155702E-3</v>
      </c>
      <c r="L60">
        <v>-2.3502929108262099E-2</v>
      </c>
      <c r="M60">
        <v>-6.82246299884015E-3</v>
      </c>
      <c r="N60">
        <v>4.8209350768535506E-3</v>
      </c>
    </row>
    <row r="61" spans="1:14" x14ac:dyDescent="0.3">
      <c r="A61" t="s">
        <v>70</v>
      </c>
      <c r="B61">
        <v>2019</v>
      </c>
      <c r="C61">
        <v>1</v>
      </c>
      <c r="D61">
        <v>-6.2191640360030429E-2</v>
      </c>
      <c r="E61">
        <v>-6.6432460999447593E-2</v>
      </c>
      <c r="F61">
        <v>-2.099840984387584E-2</v>
      </c>
      <c r="G61">
        <f t="shared" si="2"/>
        <v>-6.7658275844999713E-2</v>
      </c>
      <c r="H61">
        <f t="shared" si="3"/>
        <v>-7.1899096484416877E-2</v>
      </c>
      <c r="I61">
        <f t="shared" si="4"/>
        <v>-2.6465045328845121E-2</v>
      </c>
      <c r="J61">
        <v>-4.0526588418047398E-2</v>
      </c>
      <c r="K61">
        <v>-4.8821270628379002E-2</v>
      </c>
      <c r="L61">
        <v>5.6685809289898102E-2</v>
      </c>
      <c r="M61">
        <v>-2.4376208971982602E-2</v>
      </c>
      <c r="N61">
        <v>5.4666354849692801E-3</v>
      </c>
    </row>
    <row r="62" spans="1:14" x14ac:dyDescent="0.3">
      <c r="A62" t="s">
        <v>71</v>
      </c>
      <c r="B62">
        <v>2018</v>
      </c>
      <c r="C62">
        <v>12</v>
      </c>
      <c r="D62">
        <v>7.4619226796509328E-2</v>
      </c>
      <c r="E62">
        <v>8.654119184172511E-2</v>
      </c>
      <c r="F62">
        <v>6.4610609481974973E-2</v>
      </c>
      <c r="G62">
        <f t="shared" si="2"/>
        <v>6.9111917877431747E-2</v>
      </c>
      <c r="H62">
        <f t="shared" si="3"/>
        <v>8.1033882922647529E-2</v>
      </c>
      <c r="I62">
        <f t="shared" si="4"/>
        <v>5.9103300562897393E-2</v>
      </c>
      <c r="J62">
        <v>1.23786803470212E-2</v>
      </c>
      <c r="K62">
        <v>1.48471502509875E-2</v>
      </c>
      <c r="L62">
        <v>-3.3413731948810498E-2</v>
      </c>
      <c r="M62">
        <v>-3.9749751202206004E-3</v>
      </c>
      <c r="N62">
        <v>5.5073089190775804E-3</v>
      </c>
    </row>
    <row r="63" spans="1:14" x14ac:dyDescent="0.3">
      <c r="A63" t="s">
        <v>72</v>
      </c>
      <c r="B63">
        <v>2018</v>
      </c>
      <c r="C63">
        <v>11</v>
      </c>
      <c r="D63">
        <v>-4.3675836622102039E-2</v>
      </c>
      <c r="E63">
        <v>-1.512898882926016E-2</v>
      </c>
      <c r="F63">
        <v>-3.6589304279188023E-2</v>
      </c>
      <c r="G63">
        <f t="shared" si="2"/>
        <v>-4.9161051231351713E-2</v>
      </c>
      <c r="H63">
        <f t="shared" si="3"/>
        <v>-2.061420343850983E-2</v>
      </c>
      <c r="I63">
        <f t="shared" si="4"/>
        <v>-4.207451888843769E-2</v>
      </c>
      <c r="J63">
        <v>-1.6114823496469199E-3</v>
      </c>
      <c r="K63">
        <v>-3.6374800752143603E-2</v>
      </c>
      <c r="L63">
        <v>-1.1043403076873E-2</v>
      </c>
      <c r="M63">
        <v>2.2802518708954701E-2</v>
      </c>
      <c r="N63">
        <v>5.4852146092496702E-3</v>
      </c>
    </row>
    <row r="64" spans="1:14" x14ac:dyDescent="0.3">
      <c r="A64" t="s">
        <v>73</v>
      </c>
      <c r="B64">
        <v>2018</v>
      </c>
      <c r="C64">
        <v>10</v>
      </c>
      <c r="D64">
        <v>8.2777702867748271E-2</v>
      </c>
      <c r="E64">
        <v>0.1430683345767913</v>
      </c>
      <c r="F64">
        <v>8.8236301208665574E-2</v>
      </c>
      <c r="G64">
        <f t="shared" si="2"/>
        <v>7.6630488113478445E-2</v>
      </c>
      <c r="H64">
        <f t="shared" si="3"/>
        <v>0.13692111982252148</v>
      </c>
      <c r="I64">
        <f t="shared" si="4"/>
        <v>8.2089086454395749E-2</v>
      </c>
      <c r="J64">
        <v>4.8662627798353099E-2</v>
      </c>
      <c r="K64">
        <v>2.0234297180366602E-2</v>
      </c>
      <c r="L64">
        <v>-7.8670491401735491E-3</v>
      </c>
      <c r="M64">
        <v>-5.9040983494123997E-2</v>
      </c>
      <c r="N64">
        <v>6.1472147542698296E-3</v>
      </c>
    </row>
    <row r="65" spans="1:14" x14ac:dyDescent="0.3">
      <c r="A65" t="s">
        <v>74</v>
      </c>
      <c r="B65">
        <v>2018</v>
      </c>
      <c r="C65">
        <v>9</v>
      </c>
      <c r="D65">
        <v>4.6096438135377289E-2</v>
      </c>
      <c r="E65">
        <v>-2.904187738273829E-2</v>
      </c>
      <c r="F65">
        <v>-4.1310112074363692E-2</v>
      </c>
      <c r="G65">
        <f t="shared" si="2"/>
        <v>4.0936614319620881E-2</v>
      </c>
      <c r="H65">
        <f t="shared" si="3"/>
        <v>-3.4201701198494701E-2</v>
      </c>
      <c r="I65">
        <f t="shared" si="4"/>
        <v>-4.64699358901201E-2</v>
      </c>
      <c r="J65">
        <v>-0.10626478115914101</v>
      </c>
      <c r="K65">
        <v>-2.7723207370176903E-2</v>
      </c>
      <c r="L65">
        <v>5.1916392442999303E-2</v>
      </c>
      <c r="M65">
        <v>-8.0163510449814804E-2</v>
      </c>
      <c r="N65">
        <v>5.1598238157564104E-3</v>
      </c>
    </row>
    <row r="66" spans="1:14" x14ac:dyDescent="0.3">
      <c r="A66" t="s">
        <v>75</v>
      </c>
      <c r="B66">
        <v>2018</v>
      </c>
      <c r="C66">
        <v>8</v>
      </c>
      <c r="D66">
        <v>4.1202767321882668E-2</v>
      </c>
      <c r="E66">
        <v>3.762762359655384E-2</v>
      </c>
      <c r="F66">
        <v>-3.6884083520776901E-3</v>
      </c>
      <c r="G66">
        <f t="shared" si="2"/>
        <v>3.5641972542233898E-2</v>
      </c>
      <c r="H66">
        <f t="shared" si="3"/>
        <v>3.206682881690507E-2</v>
      </c>
      <c r="I66">
        <f t="shared" si="4"/>
        <v>-9.2492031317264606E-3</v>
      </c>
      <c r="J66">
        <v>-1.4048828841680501E-2</v>
      </c>
      <c r="K66">
        <v>-1.8029851613923201E-3</v>
      </c>
      <c r="L66">
        <v>4.7156591042539303E-2</v>
      </c>
      <c r="M66">
        <v>4.3246812627694801E-2</v>
      </c>
      <c r="N66">
        <v>5.56079477964877E-3</v>
      </c>
    </row>
    <row r="67" spans="1:14" x14ac:dyDescent="0.3">
      <c r="A67" t="s">
        <v>76</v>
      </c>
      <c r="B67">
        <v>2018</v>
      </c>
      <c r="C67">
        <v>7</v>
      </c>
      <c r="D67">
        <v>2.8511150435806432E-2</v>
      </c>
      <c r="E67">
        <v>5.6449855546967492E-2</v>
      </c>
      <c r="F67">
        <v>5.0499853102464062E-2</v>
      </c>
      <c r="G67">
        <f t="shared" ref="G67:G73" si="5">D67-$N67</f>
        <v>2.2942289621667781E-2</v>
      </c>
      <c r="H67">
        <f t="shared" ref="H67:H73" si="6">E67-$N67</f>
        <v>5.0880994732828845E-2</v>
      </c>
      <c r="I67">
        <f t="shared" ref="I67:I73" si="7">F67-$N67</f>
        <v>4.4930992288325415E-2</v>
      </c>
      <c r="J67">
        <v>-1.69721037338832E-3</v>
      </c>
      <c r="K67">
        <v>-2.0060236864408297E-2</v>
      </c>
      <c r="L67">
        <v>2.6947091619351903E-2</v>
      </c>
      <c r="M67">
        <v>4.6858135991566498E-2</v>
      </c>
      <c r="N67">
        <v>5.5688608141386499E-3</v>
      </c>
    </row>
    <row r="68" spans="1:14" x14ac:dyDescent="0.3">
      <c r="A68" t="s">
        <v>77</v>
      </c>
      <c r="B68">
        <v>2018</v>
      </c>
      <c r="C68">
        <v>6</v>
      </c>
      <c r="D68">
        <v>5.9131813100786031E-2</v>
      </c>
      <c r="E68">
        <v>4.8388473963257371E-2</v>
      </c>
      <c r="F68">
        <v>5.5173076142390337E-2</v>
      </c>
      <c r="G68">
        <f t="shared" si="5"/>
        <v>5.4129580268170455E-2</v>
      </c>
      <c r="H68">
        <f t="shared" si="6"/>
        <v>4.3386241130641795E-2</v>
      </c>
      <c r="I68">
        <f t="shared" si="7"/>
        <v>5.0170843309774754E-2</v>
      </c>
      <c r="J68">
        <v>-6.4678340858249805E-2</v>
      </c>
      <c r="K68">
        <v>-5.0040321842946295E-2</v>
      </c>
      <c r="L68">
        <v>6.9374097724788095E-3</v>
      </c>
      <c r="M68">
        <v>-2.8892822790746502E-2</v>
      </c>
      <c r="N68">
        <v>5.0022328326155795E-3</v>
      </c>
    </row>
    <row r="69" spans="1:14" x14ac:dyDescent="0.3">
      <c r="A69" t="s">
        <v>78</v>
      </c>
      <c r="B69">
        <v>2018</v>
      </c>
      <c r="C69">
        <v>5</v>
      </c>
      <c r="D69">
        <v>-2.929839406614734E-2</v>
      </c>
      <c r="E69">
        <v>7.6517520343826698E-3</v>
      </c>
      <c r="F69">
        <v>-4.4666947581560187E-2</v>
      </c>
      <c r="G69">
        <f t="shared" si="5"/>
        <v>-3.4497383164995531E-2</v>
      </c>
      <c r="H69">
        <f t="shared" si="6"/>
        <v>2.4527629355344796E-3</v>
      </c>
      <c r="I69">
        <f t="shared" si="7"/>
        <v>-4.9865936680408375E-2</v>
      </c>
      <c r="J69">
        <v>-4.2242312953057803E-2</v>
      </c>
      <c r="K69">
        <v>-2.05293786543315E-2</v>
      </c>
      <c r="L69">
        <v>2.4198955089452599E-2</v>
      </c>
      <c r="M69">
        <v>-4.0999690944737793E-2</v>
      </c>
      <c r="N69">
        <v>5.1989890988481903E-3</v>
      </c>
    </row>
    <row r="70" spans="1:14" x14ac:dyDescent="0.3">
      <c r="A70" t="s">
        <v>79</v>
      </c>
      <c r="B70">
        <v>2018</v>
      </c>
      <c r="C70">
        <v>4</v>
      </c>
      <c r="D70">
        <v>1.2209617574409269E-2</v>
      </c>
      <c r="E70">
        <v>5.9832374677574289E-2</v>
      </c>
      <c r="F70">
        <v>8.1272761721181003E-3</v>
      </c>
      <c r="G70">
        <f t="shared" si="5"/>
        <v>6.827888587244999E-3</v>
      </c>
      <c r="H70">
        <f t="shared" si="6"/>
        <v>5.445064569041002E-2</v>
      </c>
      <c r="I70">
        <f t="shared" si="7"/>
        <v>2.7455471849538301E-3</v>
      </c>
      <c r="J70">
        <v>7.7891891754888797E-3</v>
      </c>
      <c r="K70">
        <v>-5.7554120544617308E-3</v>
      </c>
      <c r="L70">
        <v>3.8239926433671696E-2</v>
      </c>
      <c r="M70">
        <v>6.4987847934038903E-2</v>
      </c>
      <c r="N70">
        <v>5.3817289871642702E-3</v>
      </c>
    </row>
    <row r="71" spans="1:14" x14ac:dyDescent="0.3">
      <c r="A71" t="s">
        <v>80</v>
      </c>
      <c r="B71">
        <v>2018</v>
      </c>
      <c r="C71">
        <v>3</v>
      </c>
      <c r="D71">
        <v>-5.0923473396548728E-2</v>
      </c>
      <c r="E71">
        <v>-0.1229968011708735</v>
      </c>
      <c r="F71">
        <v>-0.1033411435765413</v>
      </c>
      <c r="G71">
        <f t="shared" si="5"/>
        <v>-5.5590253646940861E-2</v>
      </c>
      <c r="H71">
        <f t="shared" si="6"/>
        <v>-0.12766358142126563</v>
      </c>
      <c r="I71">
        <f t="shared" si="7"/>
        <v>-0.10800792382693343</v>
      </c>
      <c r="J71">
        <v>-2.7013497989664802E-2</v>
      </c>
      <c r="K71">
        <v>-6.8002566221965904E-2</v>
      </c>
      <c r="L71">
        <v>4.63663671448993E-2</v>
      </c>
      <c r="M71">
        <v>-5.2425286213617896E-2</v>
      </c>
      <c r="N71">
        <v>4.6667802503921304E-3</v>
      </c>
    </row>
    <row r="72" spans="1:14" x14ac:dyDescent="0.3">
      <c r="A72" t="s">
        <v>81</v>
      </c>
      <c r="B72">
        <v>2018</v>
      </c>
      <c r="C72">
        <v>2</v>
      </c>
      <c r="D72">
        <v>2.9126046442169349E-2</v>
      </c>
      <c r="E72">
        <v>3.3233441180504961E-2</v>
      </c>
      <c r="F72">
        <v>8.3145052627718402E-2</v>
      </c>
      <c r="G72">
        <f t="shared" si="5"/>
        <v>2.4375751813218299E-2</v>
      </c>
      <c r="H72">
        <f t="shared" si="6"/>
        <v>2.8483146551553911E-2</v>
      </c>
      <c r="I72">
        <f t="shared" si="7"/>
        <v>7.8394757998767356E-2</v>
      </c>
      <c r="J72">
        <v>-1.29058798223775E-2</v>
      </c>
      <c r="K72">
        <v>-2.5762219034347802E-2</v>
      </c>
      <c r="L72">
        <v>1.7349051827629101E-2</v>
      </c>
      <c r="M72">
        <v>-3.4928948617913097E-2</v>
      </c>
      <c r="N72">
        <v>4.7502946289510496E-3</v>
      </c>
    </row>
    <row r="73" spans="1:14" x14ac:dyDescent="0.3">
      <c r="A73" t="s">
        <v>82</v>
      </c>
      <c r="B73">
        <v>2018</v>
      </c>
      <c r="C73">
        <v>1</v>
      </c>
      <c r="D73">
        <v>6.2366271718362037E-2</v>
      </c>
      <c r="E73">
        <v>-7.4720725110451486E-3</v>
      </c>
      <c r="F73">
        <v>3.6936636258361071E-2</v>
      </c>
      <c r="G73">
        <f t="shared" si="5"/>
        <v>5.6819467109483129E-2</v>
      </c>
      <c r="H73">
        <f t="shared" si="6"/>
        <v>-1.3018877119924058E-2</v>
      </c>
      <c r="I73">
        <f t="shared" si="7"/>
        <v>3.1389831649482162E-2</v>
      </c>
      <c r="J73">
        <v>-3.3195187577200996E-2</v>
      </c>
      <c r="K73">
        <v>-9.3857783052247994E-3</v>
      </c>
      <c r="L73">
        <v>4.4509033010153897E-3</v>
      </c>
      <c r="M73">
        <v>-5.2519359422981103E-3</v>
      </c>
      <c r="N73">
        <v>5.5468046088789106E-3</v>
      </c>
    </row>
    <row r="75" spans="1:14" ht="72" x14ac:dyDescent="0.3">
      <c r="E75" s="4" t="s">
        <v>83</v>
      </c>
      <c r="G75">
        <f>AVERAGE(G2:G12)</f>
        <v>1.7323977511020255E-2</v>
      </c>
      <c r="H75">
        <f>AVERAGE(H2:H12)</f>
        <v>1.0826287284011605E-2</v>
      </c>
      <c r="I75">
        <f t="shared" ref="I75:N75" si="8">AVERAGE(I2:I12)</f>
        <v>9.3816160772421699E-3</v>
      </c>
      <c r="J75">
        <f t="shared" si="8"/>
        <v>1.2563740949781537E-2</v>
      </c>
      <c r="K75">
        <f t="shared" si="8"/>
        <v>2.4240303127802187E-2</v>
      </c>
      <c r="L75">
        <f t="shared" si="8"/>
        <v>1.4407026261172696E-2</v>
      </c>
      <c r="M75">
        <f t="shared" si="8"/>
        <v>2.3514486238829027E-2</v>
      </c>
      <c r="N75">
        <f t="shared" si="8"/>
        <v>5.4733488247542548E-3</v>
      </c>
    </row>
  </sheetData>
  <pageMargins left="0.7" right="0.7" top="0.75" bottom="0.75" header="0.3" footer="0.3"/>
  <pageSetup orientation="portrait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0FCDF4-3F47-4CB2-84FB-CCE18E71889A}">
  <sheetPr>
    <tabColor rgb="FFFF0000"/>
  </sheetPr>
  <dimension ref="A1:M24"/>
  <sheetViews>
    <sheetView topLeftCell="A4" workbookViewId="0">
      <selection activeCell="K15" sqref="K15"/>
    </sheetView>
  </sheetViews>
  <sheetFormatPr defaultRowHeight="14.4" x14ac:dyDescent="0.3"/>
  <cols>
    <col min="1" max="1" width="16" customWidth="1"/>
    <col min="2" max="2" width="17.109375" customWidth="1"/>
    <col min="3" max="3" width="15.44140625" customWidth="1"/>
    <col min="4" max="4" width="19.33203125" customWidth="1"/>
    <col min="10" max="10" width="14.88671875" customWidth="1"/>
    <col min="11" max="11" width="19.109375" customWidth="1"/>
    <col min="12" max="12" width="19.6640625" customWidth="1"/>
    <col min="13" max="13" width="16.88671875" customWidth="1"/>
  </cols>
  <sheetData>
    <row r="1" spans="1:13" ht="18" x14ac:dyDescent="0.35">
      <c r="A1" s="8" t="s">
        <v>3</v>
      </c>
      <c r="D1" t="s">
        <v>84</v>
      </c>
    </row>
    <row r="3" spans="1:13" x14ac:dyDescent="0.3">
      <c r="A3" t="s">
        <v>85</v>
      </c>
      <c r="K3" t="s">
        <v>86</v>
      </c>
    </row>
    <row r="4" spans="1:13" ht="15" thickBot="1" x14ac:dyDescent="0.35"/>
    <row r="5" spans="1:13" x14ac:dyDescent="0.3">
      <c r="A5" s="7" t="s">
        <v>87</v>
      </c>
      <c r="B5" s="7"/>
      <c r="K5" t="s">
        <v>6</v>
      </c>
      <c r="L5" t="s">
        <v>7</v>
      </c>
      <c r="M5" t="s">
        <v>8</v>
      </c>
    </row>
    <row r="6" spans="1:13" x14ac:dyDescent="0.3">
      <c r="A6" t="s">
        <v>88</v>
      </c>
      <c r="B6">
        <v>0.84384430321726978</v>
      </c>
      <c r="J6" t="s">
        <v>89</v>
      </c>
      <c r="K6">
        <v>0.2841137618499629</v>
      </c>
      <c r="L6">
        <v>0.71719858206304565</v>
      </c>
      <c r="M6">
        <v>0.18351740835048821</v>
      </c>
    </row>
    <row r="7" spans="1:13" x14ac:dyDescent="0.3">
      <c r="A7" t="s">
        <v>90</v>
      </c>
      <c r="B7">
        <v>0.71207320807223962</v>
      </c>
    </row>
    <row r="8" spans="1:13" ht="72" x14ac:dyDescent="0.3">
      <c r="A8" t="s">
        <v>91</v>
      </c>
      <c r="B8">
        <v>0.42414641614447923</v>
      </c>
      <c r="J8" t="s">
        <v>92</v>
      </c>
      <c r="K8" s="9" t="s">
        <v>93</v>
      </c>
      <c r="L8" s="9" t="s">
        <v>94</v>
      </c>
      <c r="M8" s="9" t="s">
        <v>95</v>
      </c>
    </row>
    <row r="9" spans="1:13" x14ac:dyDescent="0.3">
      <c r="A9" t="s">
        <v>96</v>
      </c>
      <c r="B9">
        <v>2.6514447923278728E-2</v>
      </c>
    </row>
    <row r="10" spans="1:13" ht="15" thickBot="1" x14ac:dyDescent="0.35">
      <c r="A10" s="5" t="s">
        <v>97</v>
      </c>
      <c r="B10" s="5">
        <v>11</v>
      </c>
    </row>
    <row r="11" spans="1:13" x14ac:dyDescent="0.3">
      <c r="J11" s="3" t="s">
        <v>98</v>
      </c>
      <c r="K11" s="10" t="s">
        <v>99</v>
      </c>
    </row>
    <row r="12" spans="1:13" ht="15" thickBot="1" x14ac:dyDescent="0.35">
      <c r="A12" t="s">
        <v>100</v>
      </c>
    </row>
    <row r="13" spans="1:13" x14ac:dyDescent="0.3">
      <c r="A13" s="6"/>
      <c r="B13" s="6" t="s">
        <v>101</v>
      </c>
      <c r="C13" s="6" t="s">
        <v>102</v>
      </c>
      <c r="D13" s="6" t="s">
        <v>103</v>
      </c>
      <c r="E13" s="6" t="s">
        <v>104</v>
      </c>
      <c r="F13" s="6" t="s">
        <v>105</v>
      </c>
      <c r="J13" t="s">
        <v>106</v>
      </c>
      <c r="K13" t="s">
        <v>107</v>
      </c>
    </row>
    <row r="14" spans="1:13" x14ac:dyDescent="0.3">
      <c r="A14" t="s">
        <v>108</v>
      </c>
      <c r="B14">
        <v>5</v>
      </c>
      <c r="C14">
        <v>8.69316152463942E-3</v>
      </c>
      <c r="D14">
        <v>1.7386323049278841E-3</v>
      </c>
      <c r="E14">
        <v>2.4731050671064194</v>
      </c>
      <c r="F14">
        <v>0.17146409887388497</v>
      </c>
    </row>
    <row r="15" spans="1:13" x14ac:dyDescent="0.3">
      <c r="A15" t="s">
        <v>109</v>
      </c>
      <c r="B15">
        <v>5</v>
      </c>
      <c r="C15">
        <v>3.5150797433812979E-3</v>
      </c>
      <c r="D15">
        <v>7.030159486762596E-4</v>
      </c>
      <c r="K15" s="14">
        <f>'Fund 1 Regression'!N75+('Fund 1 Regression'!B20*'Fund 1 Regression'!K6)+('Fund 1 Regression'!B21*'Fund 1 Regression'!L6)+('Fund 1 Regression'!B22*'Fund 1 Regression'!M6)+('Fund 1 Regression'!B23*'Fund 1 Regression'!M75)</f>
        <v>0.62877307495346058</v>
      </c>
    </row>
    <row r="16" spans="1:13" ht="15" thickBot="1" x14ac:dyDescent="0.35">
      <c r="A16" s="5" t="s">
        <v>110</v>
      </c>
      <c r="B16" s="5">
        <v>10</v>
      </c>
      <c r="C16" s="5">
        <v>1.2208241268020718E-2</v>
      </c>
      <c r="D16" s="5"/>
      <c r="E16" s="5"/>
      <c r="F16" s="5"/>
    </row>
    <row r="17" spans="1:9" ht="15" thickBot="1" x14ac:dyDescent="0.35"/>
    <row r="18" spans="1:9" x14ac:dyDescent="0.3">
      <c r="A18" s="6"/>
      <c r="B18" s="6" t="s">
        <v>111</v>
      </c>
      <c r="C18" s="6" t="s">
        <v>96</v>
      </c>
      <c r="D18" s="6" t="s">
        <v>112</v>
      </c>
      <c r="E18" s="6" t="s">
        <v>113</v>
      </c>
      <c r="F18" s="6" t="s">
        <v>114</v>
      </c>
      <c r="G18" s="6" t="s">
        <v>115</v>
      </c>
      <c r="H18" s="6" t="s">
        <v>116</v>
      </c>
      <c r="I18" s="6" t="s">
        <v>117</v>
      </c>
    </row>
    <row r="19" spans="1:9" x14ac:dyDescent="0.3">
      <c r="A19" t="s">
        <v>118</v>
      </c>
      <c r="B19">
        <v>-2.585550383334469E-2</v>
      </c>
      <c r="C19">
        <v>0.3149736809953691</v>
      </c>
      <c r="D19">
        <v>-8.2087823184581674E-2</v>
      </c>
      <c r="E19">
        <v>0.93776168119951842</v>
      </c>
      <c r="F19">
        <v>-0.83552112690354774</v>
      </c>
      <c r="G19">
        <v>0.78381011923685839</v>
      </c>
      <c r="H19">
        <v>-0.83552112690354774</v>
      </c>
      <c r="I19">
        <v>0.78381011923685839</v>
      </c>
    </row>
    <row r="20" spans="1:9" x14ac:dyDescent="0.3">
      <c r="A20" t="s">
        <v>6</v>
      </c>
      <c r="B20">
        <v>0.2841137618499629</v>
      </c>
      <c r="C20">
        <v>0.2135501268362841</v>
      </c>
      <c r="D20">
        <v>1.3304312484336553</v>
      </c>
      <c r="E20">
        <v>0.24082508337082939</v>
      </c>
      <c r="F20">
        <v>-0.26483431519322015</v>
      </c>
      <c r="G20">
        <v>0.83306183889314589</v>
      </c>
      <c r="H20">
        <v>-0.26483431519322015</v>
      </c>
      <c r="I20">
        <v>0.83306183889314589</v>
      </c>
    </row>
    <row r="21" spans="1:9" x14ac:dyDescent="0.3">
      <c r="A21" t="s">
        <v>7</v>
      </c>
      <c r="B21">
        <v>0.71719858206304565</v>
      </c>
      <c r="C21">
        <v>0.62711094068513029</v>
      </c>
      <c r="D21">
        <v>1.1436550306066944</v>
      </c>
      <c r="E21">
        <v>0.30454959757138705</v>
      </c>
      <c r="F21">
        <v>-0.89484141099095293</v>
      </c>
      <c r="G21">
        <v>2.3292385751170444</v>
      </c>
      <c r="H21">
        <v>-0.89484141099095293</v>
      </c>
      <c r="I21">
        <v>2.3292385751170444</v>
      </c>
    </row>
    <row r="22" spans="1:9" x14ac:dyDescent="0.3">
      <c r="A22" t="s">
        <v>8</v>
      </c>
      <c r="B22">
        <v>0.18351740835048821</v>
      </c>
      <c r="C22">
        <v>0.53566768888398308</v>
      </c>
      <c r="D22">
        <v>0.34259562814555927</v>
      </c>
      <c r="E22">
        <v>0.74583525320991551</v>
      </c>
      <c r="F22">
        <v>-1.1934602226319635</v>
      </c>
      <c r="G22">
        <v>1.56049503933294</v>
      </c>
      <c r="H22">
        <v>-1.1934602226319635</v>
      </c>
      <c r="I22">
        <v>1.56049503933294</v>
      </c>
    </row>
    <row r="23" spans="1:9" x14ac:dyDescent="0.3">
      <c r="A23" t="s">
        <v>9</v>
      </c>
      <c r="B23">
        <v>-0.76668193527927897</v>
      </c>
      <c r="C23">
        <v>0.288920357521249</v>
      </c>
      <c r="D23">
        <v>-2.6536099493193115</v>
      </c>
      <c r="E23">
        <v>4.5229763080259909E-2</v>
      </c>
      <c r="F23">
        <v>-1.5093753582689518</v>
      </c>
      <c r="G23">
        <v>-2.3988512289606301E-2</v>
      </c>
      <c r="H23">
        <v>-1.5093753582689518</v>
      </c>
      <c r="I23">
        <v>-2.3988512289606301E-2</v>
      </c>
    </row>
    <row r="24" spans="1:9" ht="15" thickBot="1" x14ac:dyDescent="0.35">
      <c r="A24" s="5" t="s">
        <v>10</v>
      </c>
      <c r="B24" s="5">
        <v>6.8713015573349852</v>
      </c>
      <c r="C24" s="5">
        <v>57.295979652070876</v>
      </c>
      <c r="D24" s="5">
        <v>0.11992641715982305</v>
      </c>
      <c r="E24" s="5">
        <v>0.90921126034757527</v>
      </c>
      <c r="F24" s="5">
        <v>-140.41270299126631</v>
      </c>
      <c r="G24" s="5">
        <v>154.15530610593629</v>
      </c>
      <c r="H24" s="5">
        <v>-140.41270299126631</v>
      </c>
      <c r="I24" s="5">
        <v>154.15530610593629</v>
      </c>
    </row>
  </sheetData>
  <phoneticPr fontId="4" type="noConversion"/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163783F-E82D-4BFC-9FAB-A7F56574BF4A}">
  <sheetPr>
    <tabColor theme="9"/>
  </sheetPr>
  <dimension ref="A1:L24"/>
  <sheetViews>
    <sheetView topLeftCell="A4" workbookViewId="0">
      <selection activeCell="J15" sqref="J15"/>
    </sheetView>
  </sheetViews>
  <sheetFormatPr defaultRowHeight="14.4" x14ac:dyDescent="0.3"/>
  <cols>
    <col min="1" max="1" width="18.88671875" customWidth="1"/>
    <col min="2" max="2" width="17" customWidth="1"/>
    <col min="3" max="3" width="19" customWidth="1"/>
    <col min="4" max="4" width="17.109375" customWidth="1"/>
    <col min="5" max="5" width="14.109375" customWidth="1"/>
    <col min="6" max="6" width="16.6640625" customWidth="1"/>
    <col min="9" max="9" width="20" customWidth="1"/>
    <col min="10" max="10" width="17.109375" customWidth="1"/>
    <col min="11" max="11" width="14.6640625" customWidth="1"/>
    <col min="12" max="12" width="18.33203125" customWidth="1"/>
  </cols>
  <sheetData>
    <row r="1" spans="1:12" ht="18" x14ac:dyDescent="0.35">
      <c r="A1" s="8" t="s">
        <v>4</v>
      </c>
    </row>
    <row r="3" spans="1:12" x14ac:dyDescent="0.3">
      <c r="A3" t="s">
        <v>85</v>
      </c>
      <c r="J3" t="s">
        <v>119</v>
      </c>
    </row>
    <row r="4" spans="1:12" ht="15" thickBot="1" x14ac:dyDescent="0.35"/>
    <row r="5" spans="1:12" x14ac:dyDescent="0.3">
      <c r="A5" s="7" t="s">
        <v>87</v>
      </c>
      <c r="B5" s="7"/>
      <c r="J5" t="s">
        <v>6</v>
      </c>
      <c r="K5" t="s">
        <v>7</v>
      </c>
      <c r="L5" t="s">
        <v>8</v>
      </c>
    </row>
    <row r="6" spans="1:12" x14ac:dyDescent="0.3">
      <c r="A6" t="s">
        <v>88</v>
      </c>
      <c r="B6">
        <v>0.66669067279812222</v>
      </c>
      <c r="I6" t="s">
        <v>89</v>
      </c>
      <c r="J6">
        <v>0.66322800480857569</v>
      </c>
      <c r="K6">
        <v>0.6407634966133855</v>
      </c>
      <c r="L6">
        <v>-0.16581167271461575</v>
      </c>
    </row>
    <row r="7" spans="1:12" x14ac:dyDescent="0.3">
      <c r="A7" t="s">
        <v>90</v>
      </c>
      <c r="B7">
        <v>0.44447645319601281</v>
      </c>
    </row>
    <row r="8" spans="1:12" ht="72" x14ac:dyDescent="0.3">
      <c r="A8" t="s">
        <v>91</v>
      </c>
      <c r="B8">
        <v>-0.1110470936079743</v>
      </c>
      <c r="I8" s="9" t="s">
        <v>92</v>
      </c>
      <c r="J8" s="9" t="s">
        <v>120</v>
      </c>
      <c r="K8" s="9" t="s">
        <v>121</v>
      </c>
      <c r="L8" s="9" t="s">
        <v>122</v>
      </c>
    </row>
    <row r="9" spans="1:12" x14ac:dyDescent="0.3">
      <c r="A9" t="s">
        <v>96</v>
      </c>
      <c r="B9">
        <v>4.9096495417837047E-2</v>
      </c>
    </row>
    <row r="10" spans="1:12" ht="15" thickBot="1" x14ac:dyDescent="0.35">
      <c r="A10" s="5" t="s">
        <v>97</v>
      </c>
      <c r="B10" s="5">
        <v>11</v>
      </c>
      <c r="I10" s="3" t="s">
        <v>98</v>
      </c>
      <c r="J10" s="11" t="s">
        <v>123</v>
      </c>
    </row>
    <row r="12" spans="1:12" ht="15" thickBot="1" x14ac:dyDescent="0.35">
      <c r="A12" t="s">
        <v>100</v>
      </c>
    </row>
    <row r="13" spans="1:12" x14ac:dyDescent="0.3">
      <c r="A13" s="6"/>
      <c r="B13" s="6" t="s">
        <v>101</v>
      </c>
      <c r="C13" s="6" t="s">
        <v>102</v>
      </c>
      <c r="D13" s="6" t="s">
        <v>103</v>
      </c>
      <c r="E13" s="6" t="s">
        <v>104</v>
      </c>
      <c r="F13" s="6" t="s">
        <v>105</v>
      </c>
      <c r="I13" s="12" t="s">
        <v>106</v>
      </c>
      <c r="J13" t="s">
        <v>107</v>
      </c>
    </row>
    <row r="14" spans="1:12" x14ac:dyDescent="0.3">
      <c r="A14" t="s">
        <v>108</v>
      </c>
      <c r="B14">
        <v>5</v>
      </c>
      <c r="C14">
        <v>9.6431134485222281E-3</v>
      </c>
      <c r="D14">
        <v>1.9286226897044455E-3</v>
      </c>
      <c r="E14">
        <v>0.80010371433066063</v>
      </c>
      <c r="F14">
        <v>0.593679597486793</v>
      </c>
    </row>
    <row r="15" spans="1:12" x14ac:dyDescent="0.3">
      <c r="A15" t="s">
        <v>109</v>
      </c>
      <c r="B15">
        <v>5</v>
      </c>
      <c r="C15">
        <v>1.2052329311568469E-2</v>
      </c>
      <c r="D15">
        <v>2.4104658623136941E-3</v>
      </c>
      <c r="J15" s="15">
        <f>'Fund 2 Regression'!N75+('Fund 2 Regression'!B20*'Fund 2 Regression'!J6)+('Fund 2 Regression'!B21*'Fund 2 Regression'!K6)+('Fund 2 Regression'!B22*'Fund 2 Regression'!L6)+'Fund 2 Regression'!B23*'Fund 2 Regression'!N75</f>
        <v>0.87794275576299508</v>
      </c>
    </row>
    <row r="16" spans="1:12" ht="15" thickBot="1" x14ac:dyDescent="0.35">
      <c r="A16" s="5" t="s">
        <v>110</v>
      </c>
      <c r="B16" s="5">
        <v>10</v>
      </c>
      <c r="C16" s="5">
        <v>2.1695442760090698E-2</v>
      </c>
      <c r="D16" s="5"/>
      <c r="E16" s="5"/>
      <c r="F16" s="5"/>
    </row>
    <row r="17" spans="1:9" ht="15" thickBot="1" x14ac:dyDescent="0.35"/>
    <row r="18" spans="1:9" x14ac:dyDescent="0.3">
      <c r="A18" s="6"/>
      <c r="B18" s="6" t="s">
        <v>111</v>
      </c>
      <c r="C18" s="6" t="s">
        <v>96</v>
      </c>
      <c r="D18" s="6" t="s">
        <v>112</v>
      </c>
      <c r="E18" s="6" t="s">
        <v>113</v>
      </c>
      <c r="F18" s="6" t="s">
        <v>114</v>
      </c>
      <c r="G18" s="6" t="s">
        <v>115</v>
      </c>
      <c r="H18" s="6" t="s">
        <v>116</v>
      </c>
      <c r="I18" s="6" t="s">
        <v>117</v>
      </c>
    </row>
    <row r="19" spans="1:9" x14ac:dyDescent="0.3">
      <c r="A19" t="s">
        <v>118</v>
      </c>
      <c r="B19">
        <v>-0.29696497374569703</v>
      </c>
      <c r="C19">
        <v>0.58323310862344901</v>
      </c>
      <c r="D19">
        <v>-0.50917029461272512</v>
      </c>
      <c r="E19">
        <v>0.63230046953012031</v>
      </c>
      <c r="F19">
        <v>-1.7962134087148369</v>
      </c>
      <c r="G19">
        <v>1.202283461223443</v>
      </c>
      <c r="H19">
        <v>-1.7962134087148369</v>
      </c>
      <c r="I19">
        <v>1.202283461223443</v>
      </c>
    </row>
    <row r="20" spans="1:9" x14ac:dyDescent="0.3">
      <c r="A20" t="s">
        <v>6</v>
      </c>
      <c r="B20">
        <v>0.66322800480857569</v>
      </c>
      <c r="C20">
        <v>0.39542829079579195</v>
      </c>
      <c r="D20">
        <v>1.6772396417915418</v>
      </c>
      <c r="E20">
        <v>0.15433970758824858</v>
      </c>
      <c r="F20">
        <v>-0.35325277680780176</v>
      </c>
      <c r="G20">
        <v>1.6797087864249531</v>
      </c>
      <c r="H20">
        <v>-0.35325277680780176</v>
      </c>
      <c r="I20">
        <v>1.6797087864249531</v>
      </c>
    </row>
    <row r="21" spans="1:9" x14ac:dyDescent="0.3">
      <c r="A21" t="s">
        <v>7</v>
      </c>
      <c r="B21">
        <v>0.6407634966133855</v>
      </c>
      <c r="C21">
        <v>1.1612140488428346</v>
      </c>
      <c r="D21">
        <v>0.55180480915806596</v>
      </c>
      <c r="E21">
        <v>0.60483655988579965</v>
      </c>
      <c r="F21">
        <v>-2.3442322446277055</v>
      </c>
      <c r="G21">
        <v>3.625759237854477</v>
      </c>
      <c r="H21">
        <v>-2.3442322446277055</v>
      </c>
      <c r="I21">
        <v>3.625759237854477</v>
      </c>
    </row>
    <row r="22" spans="1:9" x14ac:dyDescent="0.3">
      <c r="A22" t="s">
        <v>8</v>
      </c>
      <c r="B22">
        <v>-0.16581167271461575</v>
      </c>
      <c r="C22">
        <v>0.99188964103174504</v>
      </c>
      <c r="D22">
        <v>-0.16716746082975678</v>
      </c>
      <c r="E22">
        <v>0.87378883244740457</v>
      </c>
      <c r="F22">
        <v>-2.7155451669066446</v>
      </c>
      <c r="G22">
        <v>2.3839218214774132</v>
      </c>
      <c r="H22">
        <v>-2.7155451669066446</v>
      </c>
      <c r="I22">
        <v>2.3839218214774132</v>
      </c>
    </row>
    <row r="23" spans="1:9" x14ac:dyDescent="0.3">
      <c r="A23" t="s">
        <v>9</v>
      </c>
      <c r="B23">
        <v>-0.27023340680392804</v>
      </c>
      <c r="C23">
        <v>0.53499047199500405</v>
      </c>
      <c r="D23">
        <v>-0.50511816742495474</v>
      </c>
      <c r="E23">
        <v>0.63494710666928478</v>
      </c>
      <c r="F23">
        <v>-1.6454701963527842</v>
      </c>
      <c r="G23">
        <v>1.1050033827449282</v>
      </c>
      <c r="H23">
        <v>-1.6454701963527842</v>
      </c>
      <c r="I23">
        <v>1.1050033827449282</v>
      </c>
    </row>
    <row r="24" spans="1:9" ht="15" thickBot="1" x14ac:dyDescent="0.35">
      <c r="A24" s="5" t="s">
        <v>10</v>
      </c>
      <c r="B24" s="5">
        <v>53.471758701114027</v>
      </c>
      <c r="C24" s="5">
        <v>106.09430038249607</v>
      </c>
      <c r="D24" s="5">
        <v>0.50400218021453713</v>
      </c>
      <c r="E24" s="5">
        <v>0.63567709984824106</v>
      </c>
      <c r="F24" s="5">
        <v>-219.25232272667336</v>
      </c>
      <c r="G24" s="5">
        <v>326.19584012890141</v>
      </c>
      <c r="H24" s="5">
        <v>-219.25232272667336</v>
      </c>
      <c r="I24" s="5">
        <v>326.19584012890141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5F070AB-B4E8-4B70-9C03-EF18603C18AA}">
  <sheetPr>
    <tabColor rgb="FF7030A0"/>
  </sheetPr>
  <dimension ref="A1:O24"/>
  <sheetViews>
    <sheetView tabSelected="1" topLeftCell="A3" workbookViewId="0">
      <selection activeCell="M15" sqref="M15"/>
    </sheetView>
  </sheetViews>
  <sheetFormatPr defaultRowHeight="14.4" x14ac:dyDescent="0.3"/>
  <cols>
    <col min="12" max="12" width="15.33203125" customWidth="1"/>
    <col min="13" max="13" width="16.109375" customWidth="1"/>
    <col min="14" max="14" width="21" customWidth="1"/>
    <col min="15" max="15" width="14.44140625" customWidth="1"/>
  </cols>
  <sheetData>
    <row r="1" spans="1:15" ht="18" x14ac:dyDescent="0.35">
      <c r="A1" s="8" t="s">
        <v>5</v>
      </c>
    </row>
    <row r="3" spans="1:15" x14ac:dyDescent="0.3">
      <c r="A3" t="s">
        <v>85</v>
      </c>
      <c r="M3" t="s">
        <v>124</v>
      </c>
    </row>
    <row r="4" spans="1:15" ht="15" thickBot="1" x14ac:dyDescent="0.35"/>
    <row r="5" spans="1:15" x14ac:dyDescent="0.3">
      <c r="A5" s="7" t="s">
        <v>87</v>
      </c>
      <c r="B5" s="7"/>
      <c r="M5" t="s">
        <v>6</v>
      </c>
      <c r="N5" t="s">
        <v>7</v>
      </c>
      <c r="O5" t="s">
        <v>8</v>
      </c>
    </row>
    <row r="6" spans="1:15" x14ac:dyDescent="0.3">
      <c r="A6" t="s">
        <v>88</v>
      </c>
      <c r="B6">
        <v>0.62379767904071071</v>
      </c>
    </row>
    <row r="7" spans="1:15" x14ac:dyDescent="0.3">
      <c r="A7" t="s">
        <v>90</v>
      </c>
      <c r="B7">
        <v>0.38912354437657759</v>
      </c>
      <c r="L7" t="s">
        <v>89</v>
      </c>
      <c r="M7">
        <v>0.6453685480877146</v>
      </c>
      <c r="N7">
        <v>0.14012071666771322</v>
      </c>
      <c r="O7">
        <v>0.2103287097813954</v>
      </c>
    </row>
    <row r="8" spans="1:15" x14ac:dyDescent="0.3">
      <c r="A8" t="s">
        <v>91</v>
      </c>
      <c r="B8">
        <v>-0.22175291124684476</v>
      </c>
    </row>
    <row r="9" spans="1:15" ht="72" x14ac:dyDescent="0.3">
      <c r="A9" t="s">
        <v>96</v>
      </c>
      <c r="B9">
        <v>4.941259926678869E-2</v>
      </c>
      <c r="L9" t="s">
        <v>92</v>
      </c>
      <c r="M9" s="9" t="s">
        <v>125</v>
      </c>
      <c r="N9" s="9" t="s">
        <v>126</v>
      </c>
      <c r="O9" s="9" t="s">
        <v>127</v>
      </c>
    </row>
    <row r="10" spans="1:15" ht="15" thickBot="1" x14ac:dyDescent="0.35">
      <c r="A10" s="5" t="s">
        <v>97</v>
      </c>
      <c r="B10" s="5">
        <v>11</v>
      </c>
    </row>
    <row r="11" spans="1:15" x14ac:dyDescent="0.3">
      <c r="L11" s="3" t="s">
        <v>98</v>
      </c>
      <c r="M11" s="13" t="s">
        <v>128</v>
      </c>
    </row>
    <row r="12" spans="1:15" ht="15" thickBot="1" x14ac:dyDescent="0.35">
      <c r="A12" t="s">
        <v>100</v>
      </c>
    </row>
    <row r="13" spans="1:15" x14ac:dyDescent="0.3">
      <c r="A13" s="6"/>
      <c r="B13" s="6" t="s">
        <v>101</v>
      </c>
      <c r="C13" s="6" t="s">
        <v>102</v>
      </c>
      <c r="D13" s="6" t="s">
        <v>103</v>
      </c>
      <c r="E13" s="6" t="s">
        <v>104</v>
      </c>
      <c r="F13" s="6" t="s">
        <v>105</v>
      </c>
      <c r="L13" t="s">
        <v>106</v>
      </c>
      <c r="M13" t="s">
        <v>107</v>
      </c>
    </row>
    <row r="14" spans="1:15" x14ac:dyDescent="0.3">
      <c r="A14" t="s">
        <v>108</v>
      </c>
      <c r="B14">
        <v>5</v>
      </c>
      <c r="C14">
        <v>7.7764167345802156E-3</v>
      </c>
      <c r="D14">
        <v>1.5552833469160432E-3</v>
      </c>
      <c r="E14">
        <v>0.63699221142753382</v>
      </c>
      <c r="F14">
        <v>0.68363601971233634</v>
      </c>
    </row>
    <row r="15" spans="1:15" x14ac:dyDescent="0.3">
      <c r="A15" t="s">
        <v>109</v>
      </c>
      <c r="B15">
        <v>5</v>
      </c>
      <c r="C15">
        <v>1.2208024831501232E-2</v>
      </c>
      <c r="D15">
        <v>2.4416049663002464E-3</v>
      </c>
      <c r="M15" s="16">
        <f>'Fund 3 Regression'!K74+('Fund 3 Regression'!B20*'Fund 3 Regression'!M7)+('Fund 3 Regression'!B21*'Fund 3 Regression'!N7)+('Fund 3 Regression'!B22*'Fund 3 Regression'!O7)+('Fund 3 Regression'!B23*'Fund 3 Regression'!M75)</f>
        <v>0.4803725442586248</v>
      </c>
    </row>
    <row r="16" spans="1:15" ht="15" thickBot="1" x14ac:dyDescent="0.35">
      <c r="A16" s="5" t="s">
        <v>110</v>
      </c>
      <c r="B16" s="5">
        <v>10</v>
      </c>
      <c r="C16" s="5">
        <v>1.9984441566081448E-2</v>
      </c>
      <c r="D16" s="5"/>
      <c r="E16" s="5"/>
      <c r="F16" s="5"/>
    </row>
    <row r="17" spans="1:9" ht="15" thickBot="1" x14ac:dyDescent="0.35"/>
    <row r="18" spans="1:9" x14ac:dyDescent="0.3">
      <c r="A18" s="6"/>
      <c r="B18" s="6" t="s">
        <v>111</v>
      </c>
      <c r="C18" s="6" t="s">
        <v>96</v>
      </c>
      <c r="D18" s="6" t="s">
        <v>112</v>
      </c>
      <c r="E18" s="6" t="s">
        <v>113</v>
      </c>
      <c r="F18" s="6" t="s">
        <v>114</v>
      </c>
      <c r="G18" s="6" t="s">
        <v>115</v>
      </c>
      <c r="H18" s="6" t="s">
        <v>116</v>
      </c>
      <c r="I18" s="6" t="s">
        <v>117</v>
      </c>
    </row>
    <row r="19" spans="1:9" x14ac:dyDescent="0.3">
      <c r="A19" t="s">
        <v>118</v>
      </c>
      <c r="B19">
        <v>0.18862031545061844</v>
      </c>
      <c r="C19">
        <v>0.58698820822685027</v>
      </c>
      <c r="D19">
        <v>0.32133578291188319</v>
      </c>
      <c r="E19">
        <v>0.76095386836248591</v>
      </c>
      <c r="F19">
        <v>-1.3202809103500297</v>
      </c>
      <c r="G19">
        <v>1.6975215412512668</v>
      </c>
      <c r="H19">
        <v>-1.3202809103500297</v>
      </c>
      <c r="I19">
        <v>1.6975215412512668</v>
      </c>
    </row>
    <row r="20" spans="1:9" x14ac:dyDescent="0.3">
      <c r="A20" t="s">
        <v>6</v>
      </c>
      <c r="B20">
        <v>0.6453685480877146</v>
      </c>
      <c r="C20">
        <v>0.39797422413871464</v>
      </c>
      <c r="D20">
        <v>1.6216340379440508</v>
      </c>
      <c r="E20">
        <v>0.16580833081651744</v>
      </c>
      <c r="F20">
        <v>-0.37765676353472066</v>
      </c>
      <c r="G20">
        <v>1.6683938597101498</v>
      </c>
      <c r="H20">
        <v>-0.37765676353472066</v>
      </c>
      <c r="I20">
        <v>1.6683938597101498</v>
      </c>
    </row>
    <row r="21" spans="1:9" x14ac:dyDescent="0.3">
      <c r="A21" t="s">
        <v>7</v>
      </c>
      <c r="B21">
        <v>0.14012071666771322</v>
      </c>
      <c r="C21">
        <v>1.1686904323845118</v>
      </c>
      <c r="D21">
        <v>0.11989549395199635</v>
      </c>
      <c r="E21">
        <v>0.90923453627699413</v>
      </c>
      <c r="F21">
        <v>-2.8640936803018637</v>
      </c>
      <c r="G21">
        <v>3.1443351136372901</v>
      </c>
      <c r="H21">
        <v>-2.8640936803018637</v>
      </c>
      <c r="I21">
        <v>3.1443351136372901</v>
      </c>
    </row>
    <row r="22" spans="1:9" x14ac:dyDescent="0.3">
      <c r="A22" t="s">
        <v>8</v>
      </c>
      <c r="B22">
        <v>0.2103287097813954</v>
      </c>
      <c r="C22">
        <v>0.99827584295098615</v>
      </c>
      <c r="D22">
        <v>0.2106919758367049</v>
      </c>
      <c r="E22">
        <v>0.84144502285514999</v>
      </c>
      <c r="F22">
        <v>-2.3558210390629402</v>
      </c>
      <c r="G22">
        <v>2.7764784586257312</v>
      </c>
      <c r="H22">
        <v>-2.3558210390629402</v>
      </c>
      <c r="I22">
        <v>2.7764784586257312</v>
      </c>
    </row>
    <row r="23" spans="1:9" x14ac:dyDescent="0.3">
      <c r="A23" t="s">
        <v>9</v>
      </c>
      <c r="B23">
        <v>-0.21354249598452235</v>
      </c>
      <c r="C23">
        <v>0.53843496525080259</v>
      </c>
      <c r="D23">
        <v>-0.39659849334831815</v>
      </c>
      <c r="E23">
        <v>0.70802458116380806</v>
      </c>
      <c r="F23">
        <v>-1.597633637329706</v>
      </c>
      <c r="G23">
        <v>1.1705486453606611</v>
      </c>
      <c r="H23">
        <v>-1.597633637329706</v>
      </c>
      <c r="I23">
        <v>1.1705486453606611</v>
      </c>
    </row>
    <row r="24" spans="1:9" ht="15" thickBot="1" x14ac:dyDescent="0.35">
      <c r="A24" s="5" t="s">
        <v>10</v>
      </c>
      <c r="B24" s="5">
        <v>-34.485720987413551</v>
      </c>
      <c r="C24" s="5">
        <v>106.7773800283511</v>
      </c>
      <c r="D24" s="5">
        <v>-0.32296841314384228</v>
      </c>
      <c r="E24" s="5">
        <v>0.75978844072839213</v>
      </c>
      <c r="F24" s="5">
        <v>-308.96571454512878</v>
      </c>
      <c r="G24" s="5">
        <v>239.99427257030166</v>
      </c>
      <c r="H24" s="5">
        <v>-308.96571454512878</v>
      </c>
      <c r="I24" s="5">
        <v>239.99427257030166</v>
      </c>
    </row>
  </sheetData>
  <pageMargins left="0.7" right="0.7" top="0.75" bottom="0.75" header="0.3" footer="0.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37A68DC892A511478DC49EA7E1BB685F" ma:contentTypeVersion="4" ma:contentTypeDescription="Create a new document." ma:contentTypeScope="" ma:versionID="b1aeda961f0965c08a44cba60f3f1a34">
  <xsd:schema xmlns:xsd="http://www.w3.org/2001/XMLSchema" xmlns:xs="http://www.w3.org/2001/XMLSchema" xmlns:p="http://schemas.microsoft.com/office/2006/metadata/properties" xmlns:ns2="a9ffba07-d51e-4358-86b8-e8352fbe8db6" targetNamespace="http://schemas.microsoft.com/office/2006/metadata/properties" ma:root="true" ma:fieldsID="2f1cd9c74c6695b18614f65c2575ba88" ns2:_="">
    <xsd:import namespace="a9ffba07-d51e-4358-86b8-e8352fbe8db6"/>
    <xsd:element name="properties">
      <xsd:complexType>
        <xsd:sequence>
          <xsd:element name="documentManagement">
            <xsd:complexType>
              <xsd:all>
                <xsd:element ref="ns2:ReferenceId" minOccurs="0"/>
                <xsd:element ref="ns2:MediaServiceMetadata" minOccurs="0"/>
                <xsd:element ref="ns2:MediaServiceFastMetadata" minOccurs="0"/>
                <xsd:element ref="ns2:MediaServiceSearchPropertie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9ffba07-d51e-4358-86b8-e8352fbe8db6" elementFormDefault="qualified">
    <xsd:import namespace="http://schemas.microsoft.com/office/2006/documentManagement/types"/>
    <xsd:import namespace="http://schemas.microsoft.com/office/infopath/2007/PartnerControls"/>
    <xsd:element name="ReferenceId" ma:index="8" nillable="true" ma:displayName="ReferenceId" ma:indexed="true" ma:internalName="ReferenceId">
      <xsd:simpleType>
        <xsd:restriction base="dms:Text"/>
      </xsd:simpleType>
    </xsd:element>
    <xsd:element name="MediaServiceMetadata" ma:index="9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10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1" nillable="true" ma:displayName="MediaServiceSearchProperties" ma:hidden="true" ma:internalName="MediaServiceSearchProperties" ma:readOnly="true">
      <xsd:simpleType>
        <xsd:restriction base="dms:Note"/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eferenceId xmlns="a9ffba07-d51e-4358-86b8-e8352fbe8db6" xsi:nil="true"/>
  </documentManagement>
</p:properties>
</file>

<file path=customXml/itemProps1.xml><?xml version="1.0" encoding="utf-8"?>
<ds:datastoreItem xmlns:ds="http://schemas.openxmlformats.org/officeDocument/2006/customXml" ds:itemID="{B1C8EAA0-FD7E-4B29-8CD1-5B2480E5E362}">
  <ds:schemaRefs>
    <ds:schemaRef ds:uri="http://schemas.microsoft.com/sharepoint/v3/contenttype/forms"/>
  </ds:schemaRefs>
</ds:datastoreItem>
</file>

<file path=customXml/itemProps2.xml><?xml version="1.0" encoding="utf-8"?>
<ds:datastoreItem xmlns:ds="http://schemas.openxmlformats.org/officeDocument/2006/customXml" ds:itemID="{77153E91-4354-402A-AFB1-50277D8BEE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a9ffba07-d51e-4358-86b8-e8352fbe8db6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3.xml><?xml version="1.0" encoding="utf-8"?>
<ds:datastoreItem xmlns:ds="http://schemas.openxmlformats.org/officeDocument/2006/customXml" ds:itemID="{92476887-7C0D-4283-90DA-732FC4BF9E3F}">
  <ds:schemaRefs>
    <ds:schemaRef ds:uri="http://schemas.microsoft.com/office/2006/metadata/properties"/>
    <ds:schemaRef ds:uri="http://schemas.microsoft.com/office/infopath/2007/PartnerControls"/>
    <ds:schemaRef ds:uri="a9ffba07-d51e-4358-86b8-e8352fbe8db6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Data Prep</vt:lpstr>
      <vt:lpstr>Risk Premiums of Funds</vt:lpstr>
      <vt:lpstr>Fund 1 Regression</vt:lpstr>
      <vt:lpstr>Fund 2 Regression</vt:lpstr>
      <vt:lpstr>Fund 3 Regression</vt:lpstr>
    </vt:vector>
  </TitlesOfParts>
  <Manager/>
  <Company/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Sanket Ledwani [MAHE-MSCE]</dc:creator>
  <cp:keywords/>
  <dc:description/>
  <cp:lastModifiedBy>YASH</cp:lastModifiedBy>
  <cp:revision/>
  <dcterms:created xsi:type="dcterms:W3CDTF">2026-03-31T07:34:43Z</dcterms:created>
  <dcterms:modified xsi:type="dcterms:W3CDTF">2026-10-10T12:36:46Z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0x01010037A68DC892A511478DC49EA7E1BB685F</vt:lpwstr>
  </property>
</Properties>
</file>